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f29244d5d043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0e5526974e8464f"/>
    <x:sheet xmlns:r="http://schemas.openxmlformats.org/officeDocument/2006/relationships" name="Data &amp; Targets" sheetId="2" r:id="R1f85d124dd92483c"/>
    <x:sheet xmlns:r="http://schemas.openxmlformats.org/officeDocument/2006/relationships" name="_Chart Helpers" sheetId="3" r:id="R727bd50b4d0d4e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4">
    <x:numFmt numFmtId="164" formatCode="mmm\ yyyy"/>
    <x:numFmt numFmtId="165" formatCode="#,##0;[Red]\(#,##0\);\-"/>
    <x:numFmt numFmtId="166" formatCode="0.0%;[Red]\(0.0%\);\-"/>
    <x:numFmt numFmtId="167" formatCode="#,##0.0;[Red]\(#,##0.0\);\-"/>
    <x:numFmt numFmtId="168" formatCode="\$#,##0;[Red]\(\$#,##0\);\-"/>
    <x:numFmt numFmtId="169" formatCode="0.0\x"/>
    <x:numFmt numFmtId="170" formatCode="\$#,##0.0;[Red]\(\$#,##0.0\);\-"/>
    <x:numFmt numFmtId="171" formatCode="\+0.0%;\-0.0%;\-"/>
    <x:numFmt numFmtId="200" formatCode="@"/>
    <x:numFmt numFmtId="201" formatCode="#,##0"/>
    <x:numFmt numFmtId="202" formatCode="0.0%"/>
    <x:numFmt numFmtId="203" formatCode="0.0"/>
    <x:numFmt numFmtId="204" formatCode="0.00"/>
    <x:numFmt numFmtId="205" formatCode="+0.0;-0.0;0.0"/>
  </x:numFmts>
  <x:fonts count="30">
    <x:font>
      <x:sz val="11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b/>
      <x:sz val="10"/>
      <x:color rgb="FFFFFFFF"/>
      <x:name val="Arial"/>
    </x:font>
    <x:font>
      <x:sz val="9"/>
      <x:color rgb="FF17212B"/>
      <x:name val="Arial"/>
    </x:font>
    <x:font>
      <x:b/>
      <x:sz val="9"/>
      <x:color rgb="FFFFFFFF"/>
      <x:name val="Arial"/>
    </x:font>
    <x:font>
      <x:sz val="9"/>
      <x:color rgb="FFFFFFFF"/>
      <x:name val="Arial"/>
    </x:font>
    <x:font>
      <x:b/>
      <x:sz val="8"/>
      <x:color rgb="FFA7B4C2"/>
      <x:name val="Arial"/>
    </x:font>
    <x:font>
      <x:b/>
      <x:sz val="11"/>
      <x:color rgb="FFFFFFFF"/>
      <x:name val="Arial"/>
    </x:font>
    <x:font>
      <x:i/>
      <x:sz val="8"/>
      <x:color rgb="FFA7B4C2"/>
      <x:name val="Arial"/>
    </x:font>
    <x:font>
      <x:b/>
      <x:sz val="9"/>
      <x:color rgb="FFA7B4C2"/>
      <x:name val="Arial"/>
    </x:font>
    <x:font>
      <x:b/>
      <x:sz val="25"/>
      <x:color rgb="FFFFFFFF"/>
      <x:name val="Arial"/>
    </x:font>
    <x:font>
      <x:b/>
      <x:sz val="9"/>
      <x:color rgb="FF43D3FF"/>
      <x:name val="Arial"/>
    </x:font>
    <x:font>
      <x:sz val="8"/>
      <x:color rgb="FFA7B4C2"/>
      <x:name val="Arial"/>
    </x:font>
    <x:font>
      <x:sz val="9"/>
      <x:color rgb="FFA7B4C2"/>
      <x:name val="Arial"/>
    </x:font>
    <x:font>
      <x:i/>
      <x:sz val="9"/>
      <x:color rgb="FFA7B4C2"/>
      <x:name val="Arial"/>
    </x:font>
    <x:font>
      <x:sz val="11"/>
      <x:name val="Arial"/>
    </x:font>
    <x:font>
      <x:b/>
      <x:sz val="9"/>
      <x:color rgb="FF000000"/>
      <x:name val="Arial"/>
    </x:font>
    <x:font>
      <x:sz val="9"/>
      <x:color rgb="FF0000FF"/>
      <x:name val="Arial"/>
    </x:font>
    <x:font>
      <x:i/>
      <x:sz val="10"/>
      <x:color rgb="FFD9E2EA"/>
      <x:name val="Arial"/>
    </x:font>
    <x:font>
      <x:b/>
      <x:sz val="18"/>
      <x:color rgb="FFFFFFFF"/>
      <x:name val="Arial"/>
    </x:font>
    <x:font>
      <x:i/>
      <x:sz val="10"/>
      <x:color rgb="FFC7D3DD"/>
      <x:name val="Arial"/>
    </x:font>
    <x:font>
      <x:sz val="10"/>
      <x:color rgb="FF52606D"/>
      <x:name val="Arial"/>
    </x:font>
    <x:font>
      <x:b/>
      <x:sz val="11"/>
      <x:color rgb="FF172B4D"/>
      <x:name val="Arial"/>
    </x:font>
    <x:font>
      <x:sz val="11"/>
      <x:color rgb="FF172B4D"/>
      <x:name val="Arial"/>
    </x:font>
    <x:font>
      <x:sz val="9"/>
      <x:color rgb="FF172B4D"/>
      <x:name val="Arial"/>
    </x:font>
    <x:font>
      <x:b/>
      <x:sz val="9"/>
      <x:color rgb="FF172B4D"/>
      <x:name val="Arial"/>
    </x:font>
    <x:font>
      <x:sz val="10"/>
      <x:color rgb="FF172B4D"/>
      <x:name val="Arial"/>
    </x:font>
    <x:font>
      <x:b/>
      <x:sz val="10"/>
      <x:color rgb="FF172B4D"/>
      <x:name val="Arial"/>
    </x:font>
    <x:font>
      <x:i/>
      <x:sz val="9"/>
      <x:color rgb="FFC7D3DD"/>
      <x:name val="Arial"/>
    </x:font>
  </x:fonts>
  <x:fills count="1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5313C"/>
      </x:patternFill>
    </x:fill>
    <x:fill>
      <x:patternFill patternType="solid">
        <x:fgColor rgb="FFF3F5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244A6B"/>
      </x:patternFill>
    </x:fill>
    <x:fill>
      <x:patternFill patternType="solid">
        <x:fgColor rgb="FF0D1B2A"/>
      </x:patternFill>
    </x:fill>
    <x:fill>
      <x:patternFill patternType="solid">
        <x:fgColor rgb="FF19324A"/>
      </x:patternFill>
    </x:fill>
    <x:fill>
      <x:patternFill patternType="solid">
        <x:fgColor rgb="FF14263A"/>
      </x:patternFill>
    </x:fill>
    <x:fill>
      <x:patternFill patternType="solid">
        <x:fgColor rgb="FF223B53"/>
      </x:patternFill>
    </x:fill>
    <x:fill>
      <x:patternFill patternType="solid">
        <x:fgColor rgb="FF0D1B2A"/>
      </x:patternFill>
    </x:fill>
    <x:fill>
      <x:patternFill patternType="solid">
        <x:fgColor rgb="FF163A59"/>
      </x:patternFill>
    </x:fill>
    <x:fill>
      <x:patternFill patternType="solid">
        <x:fgColor rgb="FF0F243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7FAFC"/>
      </x:patternFill>
    </x:fill>
  </x:fills>
  <x:borders count="50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31506B"/>
      </x:left>
      <x:top style="thin">
        <x:color rgb="FF31506B"/>
      </x:top>
      <x:bottom style="thin">
        <x:color rgb="FF31506B"/>
      </x:bottom>
    </x:border>
    <x:border>
      <x:top style="thin">
        <x:color rgb="FF31506B"/>
      </x:top>
      <x:bottom style="thin">
        <x:color rgb="FF31506B"/>
      </x:bottom>
    </x:border>
    <x:border>
      <x:right style="thin">
        <x:color rgb="FF31506B"/>
      </x:right>
      <x:top style="thin">
        <x:color rgb="FF31506B"/>
      </x:top>
      <x:bottom style="thin">
        <x:color rgb="FF31506B"/>
      </x:bottom>
    </x:border>
    <x:border>
      <x:left style="thin">
        <x:color rgb="FF31506B"/>
      </x:left>
      <x:top style="thin">
        <x:color rgb="FF31506B"/>
      </x:top>
    </x:border>
    <x:border>
      <x:top style="thin">
        <x:color rgb="FF31506B"/>
      </x:top>
    </x:border>
    <x:border>
      <x:right style="thin">
        <x:color rgb="FF31506B"/>
      </x:right>
      <x:top style="thin">
        <x:color rgb="FF31506B"/>
      </x:top>
    </x:border>
    <x:border>
      <x:left style="thin">
        <x:color rgb="FF31506B"/>
      </x:left>
    </x:border>
    <x:border>
      <x:right style="thin">
        <x:color rgb="FF31506B"/>
      </x:right>
    </x:border>
    <x:border>
      <x:left style="thin">
        <x:color rgb="FF31506B"/>
      </x:left>
      <x:bottom style="thin">
        <x:color rgb="FF31506B"/>
      </x:bottom>
    </x:border>
    <x:border>
      <x:bottom style="thin">
        <x:color rgb="FF31506B"/>
      </x:bottom>
    </x:border>
    <x:border>
      <x:right style="thin">
        <x:color rgb="FF31506B"/>
      </x:right>
      <x:bottom style="thin">
        <x:color rgb="FF31506B"/>
      </x:bottom>
    </x:border>
    <x:border>
      <x:left style="thin">
        <x:color rgb="FF163A59"/>
      </x:left>
      <x:top style="thin">
        <x:color rgb="FF163A59"/>
      </x:top>
      <x:bottom style="thin">
        <x:color rgb="FF163A59"/>
      </x:bottom>
    </x:border>
    <x:border>
      <x:top style="thin">
        <x:color rgb="FF163A59"/>
      </x:top>
      <x:bottom style="thin">
        <x:color rgb="FF163A59"/>
      </x:bottom>
    </x:border>
    <x:border>
      <x:right style="thin">
        <x:color rgb="FF163A59"/>
      </x:right>
      <x:top style="thin">
        <x:color rgb="FF163A59"/>
      </x:top>
      <x:bottom style="thin">
        <x:color rgb="FF163A59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A7C5DC"/>
      </x:left>
      <x:top style="thin">
        <x:color rgb="FFA7C5DC"/>
      </x:top>
    </x:border>
    <x:border>
      <x:top style="thin">
        <x:color rgb="FFA7C5DC"/>
      </x:top>
    </x:border>
    <x:border>
      <x:right style="thin">
        <x:color rgb="FF31506B"/>
      </x:right>
      <x:top style="thin">
        <x:color rgb="FFA7C5DC"/>
      </x:top>
    </x:border>
    <x:border>
      <x:left style="thin">
        <x:color rgb="FF31506B"/>
      </x:left>
      <x:top style="thin">
        <x:color rgb="FFA7C5DC"/>
      </x:top>
    </x:border>
    <x:border>
      <x:right style="thin">
        <x:color rgb="FFA7C5DC"/>
      </x:right>
      <x:top style="thin">
        <x:color rgb="FFA7C5DC"/>
      </x:top>
    </x:border>
    <x:border>
      <x:left style="thin">
        <x:color rgb="FFA7C5DC"/>
      </x:left>
    </x:border>
    <x:border>
      <x:right style="thin">
        <x:color rgb="FFA7C5DC"/>
      </x:right>
    </x:border>
    <x:border>
      <x:left style="thin">
        <x:color rgb="FFA7C5DC"/>
      </x:left>
      <x:bottom style="thin">
        <x:color rgb="FFA7C5DC"/>
      </x:bottom>
    </x:border>
    <x:border>
      <x:bottom style="thin">
        <x:color rgb="FFA7C5DC"/>
      </x:bottom>
    </x:border>
    <x:border>
      <x:right style="thin">
        <x:color rgb="FF31506B"/>
      </x:right>
      <x:bottom style="thin">
        <x:color rgb="FFA7C5DC"/>
      </x:bottom>
    </x:border>
    <x:border>
      <x:left style="thin">
        <x:color rgb="FF31506B"/>
      </x:left>
      <x:bottom style="thin">
        <x:color rgb="FFA7C5DC"/>
      </x:bottom>
    </x:border>
    <x:border>
      <x:right style="thin">
        <x:color rgb="FFA7C5DC"/>
      </x:right>
      <x:bottom style="thin">
        <x:color rgb="FFA7C5DC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right style="thin">
        <x:color rgb="FFD9E0E6"/>
      </x:right>
      <x:top style="thin">
        <x:color rgb="FFD9E0E6"/>
      </x:top>
      <x:bottom style="thin">
        <x:color rgb="FFD6B656"/>
      </x:bottom>
    </x:border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bottom style="thin">
        <x:color rgb="FFD5DEE5"/>
      </x:bottom>
    </x:border>
    <x:border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top style="thin">
        <x:color rgb="FFD5DEE5"/>
      </x:top>
      <x:bottom style="thin">
        <x:color rgb="FFD5DEE5"/>
      </x:bottom>
    </x:border>
    <x:border>
      <x:right style="thin">
        <x:color rgb="FFD5DEE5"/>
      </x:right>
      <x:top style="thin">
        <x:color rgb="FFD5DEE5"/>
      </x:top>
    </x:border>
    <x:border>
      <x:left style="thin">
        <x:color rgb="FFD5DEE5"/>
      </x:left>
      <x:right style="thin">
        <x:color rgb="FFD5DEE5"/>
      </x:right>
      <x:top style="thin">
        <x:color rgb="FFD5DEE5"/>
      </x:top>
    </x:border>
    <x:border>
      <x:left style="thin">
        <x:color rgb="FFD5DEE5"/>
      </x:left>
      <x:top style="thin">
        <x:color rgb="FFD5DEE5"/>
      </x:top>
    </x:border>
  </x:borders>
  <x:cellStyleXfs count="1">
    <x:xf numFmtId="0" fontId="0" fillId="0" borderId="0"/>
  </x:cellStyleXfs>
  <x:cellXfs count="367">
    <x:xf numFmtId="0" fontId="0" fillId="0" borderId="0" xfId="0"/>
    <x:xf numFmtId="0" fontId="5" fillId="3" borderId="1" xfId="0" applyFont="1" applyFill="1" applyBorder="1" applyAlignment="1">
      <x:alignment horizontal="left" vertical="center" wrapText="1"/>
    </x:xf>
    <x:xf numFmtId="0" fontId="5" fillId="2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4" fillId="6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left" vertical="center"/>
    </x:xf>
    <x:xf numFmtId="165" fontId="4" fillId="6" borderId="1" xfId="0" applyNumberFormat="1" applyFont="1" applyFill="1" applyBorder="1" applyAlignment="1">
      <x:alignment horizontal="left" vertical="center"/>
    </x:xf>
    <x:xf numFmtId="166" fontId="4" fillId="6" borderId="1" xfId="0" applyNumberFormat="1" applyFont="1" applyFill="1" applyBorder="1" applyAlignment="1">
      <x:alignment horizontal="left" vertical="center"/>
    </x:xf>
    <x:xf numFmtId="167" fontId="4" fillId="6" borderId="1" xfId="0" applyNumberFormat="1" applyFont="1" applyFill="1" applyBorder="1" applyAlignment="1">
      <x:alignment horizontal="left" vertical="center"/>
    </x:xf>
    <x:xf numFmtId="168" fontId="4" fillId="6" borderId="1" xfId="0" applyNumberFormat="1" applyFont="1" applyFill="1" applyBorder="1" applyAlignment="1">
      <x:alignment horizontal="left" vertical="center"/>
    </x:xf>
    <x:xf numFmtId="170" fontId="4" fillId="6" borderId="1" xfId="0" applyNumberFormat="1" applyFont="1" applyFill="1" applyBorder="1" applyAlignment="1">
      <x:alignment horizontal="left" vertical="center"/>
    </x:xf>
    <x:xf numFmtId="17" fontId="4" fillId="6" borderId="1" xfId="0" applyNumberFormat="1" applyFont="1" applyFill="1" applyBorder="1" applyAlignment="1">
      <x:alignment horizontal="left" vertical="center"/>
    </x:xf>
    <x:xf numFmtId="0" fontId="6" fillId="8" borderId="0" xfId="0" applyFont="1" applyFill="1" applyAlignment="1">
      <x:alignment vertical="center"/>
    </x:xf>
    <x:xf numFmtId="171" fontId="12" fillId="10" borderId="11" xfId="0" applyNumberFormat="1" applyFont="1" applyFill="1" applyBorder="1" applyAlignment="1">
      <x:alignment horizontal="right" vertical="center"/>
    </x:xf>
    <x:xf numFmtId="0" fontId="13" fillId="10" borderId="12" xfId="0" applyFont="1" applyFill="1" applyBorder="1" applyAlignment="1">
      <x:alignment horizontal="left" vertical="center"/>
    </x:xf>
    <x:xf numFmtId="171" fontId="5" fillId="10" borderId="12" xfId="0" applyNumberFormat="1" applyFont="1" applyFill="1" applyBorder="1" applyAlignment="1">
      <x:alignment horizontal="right" vertical="center"/>
    </x:xf>
    <x:xf numFmtId="0" fontId="13" fillId="10" borderId="13" xfId="0" applyFont="1" applyFill="1" applyBorder="1" applyAlignment="1">
      <x:alignment horizontal="left"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5" fillId="10" borderId="1" xfId="0" applyFont="1" applyFill="1" applyBorder="1" applyAlignment="1">
      <x:alignment horizontal="left" vertical="center"/>
    </x:xf>
    <x:xf numFmtId="0" fontId="6" fillId="10" borderId="1" xfId="0" applyFont="1" applyFill="1" applyBorder="1" applyAlignment="1">
      <x:alignment horizontal="center" vertical="center"/>
    </x:xf>
    <x:xf numFmtId="165" fontId="6" fillId="10" borderId="1" xfId="0" applyNumberFormat="1" applyFont="1" applyFill="1" applyBorder="1" applyAlignment="1">
      <x:alignment horizontal="right" vertical="center"/>
    </x:xf>
    <x:xf numFmtId="166" fontId="6" fillId="10" borderId="1" xfId="0" applyNumberFormat="1" applyFont="1" applyFill="1" applyBorder="1" applyAlignment="1">
      <x:alignment horizontal="right" vertical="center"/>
    </x:xf>
    <x:xf numFmtId="167" fontId="6" fillId="10" borderId="1" xfId="0" applyNumberFormat="1" applyFont="1" applyFill="1" applyBorder="1" applyAlignment="1">
      <x:alignment horizontal="right" vertical="center"/>
    </x:xf>
    <x:xf numFmtId="168" fontId="6" fillId="10" borderId="1" xfId="0" applyNumberFormat="1" applyFont="1" applyFill="1" applyBorder="1" applyAlignment="1">
      <x:alignment horizontal="right" vertical="center"/>
    </x:xf>
    <x:xf numFmtId="170" fontId="6" fillId="10" borderId="1" xfId="0" applyNumberFormat="1" applyFont="1" applyFill="1" applyBorder="1" applyAlignment="1">
      <x:alignment horizontal="right" vertical="center"/>
    </x:xf>
    <x:xf numFmtId="164" fontId="17" fillId="6" borderId="1" xfId="0" applyNumberFormat="1" applyFont="1" applyFill="1" applyBorder="1" applyAlignment="1">
      <x:alignment horizontal="left" vertical="center"/>
    </x:xf>
    <x:xf numFmtId="0" fontId="17" fillId="4" borderId="1" xfId="0" applyFont="1" applyFill="1" applyBorder="1" applyAlignment="1">
      <x:alignment horizontal="left" vertical="center"/>
    </x:xf>
    <x:xf numFmtId="0" fontId="0" fillId="0" borderId="0" xfId="0" applyAlignment="1">
      <x:alignment vertical="center"/>
    </x:xf>
    <x:xf numFmtId="0" fontId="16" fillId="0" borderId="0" xfId="0" applyFont="1" applyAlignment="1">
      <x:alignment vertical="center"/>
    </x:xf>
    <x:xf numFmtId="164" fontId="18" fillId="5" borderId="2" xfId="0" applyNumberFormat="1" applyFont="1" applyFill="1" applyBorder="1" applyAlignment="1">
      <x:alignment horizontal="left" vertical="center"/>
    </x:xf>
    <x:xf numFmtId="164" fontId="18" fillId="5" borderId="2" xfId="0" applyNumberFormat="1" applyFont="1" applyFill="1" applyBorder="1" applyAlignment="1">
      <x:alignment horizontal="right" vertical="center"/>
    </x:xf>
    <x:xf numFmtId="165" fontId="18" fillId="5" borderId="2" xfId="0" applyNumberFormat="1" applyFont="1" applyFill="1" applyBorder="1" applyAlignment="1">
      <x:alignment horizontal="right" vertical="center"/>
    </x:xf>
    <x:xf numFmtId="166" fontId="18" fillId="5" borderId="2" xfId="0" applyNumberFormat="1" applyFont="1" applyFill="1" applyBorder="1" applyAlignment="1">
      <x:alignment horizontal="right" vertical="center"/>
    </x:xf>
    <x:xf numFmtId="167" fontId="18" fillId="5" borderId="2" xfId="0" applyNumberFormat="1" applyFont="1" applyFill="1" applyBorder="1" applyAlignment="1">
      <x:alignment horizontal="right" vertical="center"/>
    </x:xf>
    <x:xf numFmtId="168" fontId="18" fillId="5" borderId="2" xfId="0" applyNumberFormat="1" applyFont="1" applyFill="1" applyBorder="1" applyAlignment="1">
      <x:alignment horizontal="right" vertical="center"/>
    </x:xf>
    <x:xf numFmtId="169" fontId="18" fillId="5" borderId="2" xfId="0" applyNumberFormat="1" applyFont="1" applyFill="1" applyBorder="1" applyAlignment="1">
      <x:alignment horizontal="right" vertical="center"/>
    </x:xf>
    <x:xf numFmtId="0" fontId="1" fillId="12" borderId="0" xfId="0" applyFont="1" applyFill="1" applyAlignment="1">
      <x:alignment vertical="center"/>
    </x:xf>
    <x:xf numFmtId="0" fontId="2" fillId="12" borderId="0" xfId="0" applyFont="1" applyFill="1" applyAlignment="1">
      <x:alignment vertical="center"/>
    </x:xf>
    <x:xf numFmtId="0" fontId="19" fillId="12" borderId="0" xfId="0" applyFont="1" applyFill="1" applyAlignment="1">
      <x:alignment vertical="center"/>
    </x:xf>
    <x:xf numFmtId="0" fontId="1" fillId="8" borderId="0" xfId="0" applyFont="1" applyFill="1" applyAlignment="1">
      <x:alignment vertical="center"/>
    </x:xf>
    <x:xf numFmtId="0" fontId="7" fillId="9" borderId="3" xfId="0" applyFont="1" applyFill="1" applyBorder="1" applyAlignment="1">
      <x:alignment horizontal="left" vertical="center"/>
    </x:xf>
    <x:xf numFmtId="0" fontId="7" fillId="9" borderId="4" xfId="0" applyFont="1" applyFill="1" applyBorder="1" applyAlignment="1">
      <x:alignment horizontal="left" vertical="center"/>
    </x:xf>
    <x:xf numFmtId="0" fontId="7" fillId="9" borderId="5" xfId="0" applyFont="1" applyFill="1" applyBorder="1" applyAlignment="1">
      <x:alignment horizontal="left" vertical="center"/>
    </x:xf>
    <x:xf numFmtId="164" fontId="8" fillId="9" borderId="3" xfId="0" applyNumberFormat="1" applyFont="1" applyFill="1" applyBorder="1" applyAlignment="1">
      <x:alignment horizontal="left" vertical="center"/>
    </x:xf>
    <x:xf numFmtId="164" fontId="8" fillId="9" borderId="4" xfId="0" applyNumberFormat="1" applyFont="1" applyFill="1" applyBorder="1" applyAlignment="1">
      <x:alignment horizontal="left" vertical="center"/>
    </x:xf>
    <x:xf numFmtId="164" fontId="8" fillId="9" borderId="5" xfId="0" applyNumberFormat="1" applyFont="1" applyFill="1" applyBorder="1" applyAlignment="1">
      <x:alignment horizontal="left" vertical="center"/>
    </x:xf>
    <x:xf numFmtId="0" fontId="9" fillId="8" borderId="0" xfId="0" applyFont="1" applyFill="1" applyAlignment="1">
      <x:alignment horizontal="left" vertical="center"/>
    </x:xf>
    <x:xf numFmtId="0" fontId="10" fillId="10" borderId="6" xfId="0" applyFont="1" applyFill="1" applyBorder="1" applyAlignment="1">
      <x:alignment horizontal="left" vertical="center"/>
    </x:xf>
    <x:xf numFmtId="0" fontId="10" fillId="10" borderId="7" xfId="0" applyFont="1" applyFill="1" applyBorder="1" applyAlignment="1">
      <x:alignment horizontal="left" vertical="center"/>
    </x:xf>
    <x:xf numFmtId="0" fontId="10" fillId="10" borderId="8" xfId="0" applyFont="1" applyFill="1" applyBorder="1" applyAlignment="1">
      <x:alignment horizontal="left" vertical="center"/>
    </x:xf>
    <x:xf numFmtId="165" fontId="11" fillId="10" borderId="9" xfId="0" applyNumberFormat="1" applyFont="1" applyFill="1" applyBorder="1" applyAlignment="1">
      <x:alignment horizontal="left" vertical="center"/>
    </x:xf>
    <x:xf numFmtId="165" fontId="11" fillId="10" borderId="0" xfId="0" applyNumberFormat="1" applyFont="1" applyFill="1" applyAlignment="1">
      <x:alignment horizontal="left" vertical="center"/>
    </x:xf>
    <x:xf numFmtId="165" fontId="11" fillId="10" borderId="10" xfId="0" applyNumberFormat="1" applyFont="1" applyFill="1" applyBorder="1" applyAlignment="1">
      <x:alignment horizontal="left" vertical="center"/>
    </x:xf>
    <x:xf numFmtId="166" fontId="11" fillId="10" borderId="9" xfId="0" applyNumberFormat="1" applyFont="1" applyFill="1" applyBorder="1" applyAlignment="1">
      <x:alignment horizontal="left" vertical="center"/>
    </x:xf>
    <x:xf numFmtId="166" fontId="11" fillId="10" borderId="0" xfId="0" applyNumberFormat="1" applyFont="1" applyFill="1" applyAlignment="1">
      <x:alignment horizontal="left" vertical="center"/>
    </x:xf>
    <x:xf numFmtId="166" fontId="11" fillId="10" borderId="10" xfId="0" applyNumberFormat="1" applyFont="1" applyFill="1" applyBorder="1" applyAlignment="1">
      <x:alignment horizontal="left" vertical="center"/>
    </x:xf>
    <x:xf numFmtId="0" fontId="3" fillId="9" borderId="0" xfId="0" applyFont="1" applyFill="1" applyAlignment="1">
      <x:alignment horizontal="left" vertical="center"/>
    </x:xf>
    <x:xf numFmtId="0" fontId="14" fillId="10" borderId="6" xfId="0" applyFont="1" applyFill="1" applyBorder="1" applyAlignment="1">
      <x:alignment horizontal="left" vertical="center" wrapText="1"/>
    </x:xf>
    <x:xf numFmtId="0" fontId="14" fillId="10" borderId="7" xfId="0" applyFont="1" applyFill="1" applyBorder="1" applyAlignment="1">
      <x:alignment horizontal="left" vertical="center" wrapText="1"/>
    </x:xf>
    <x:xf numFmtId="0" fontId="14" fillId="10" borderId="8" xfId="0" applyFont="1" applyFill="1" applyBorder="1" applyAlignment="1">
      <x:alignment horizontal="left" vertical="center" wrapText="1"/>
    </x:xf>
    <x:xf numFmtId="0" fontId="14" fillId="10" borderId="9" xfId="0" applyFont="1" applyFill="1" applyBorder="1" applyAlignment="1">
      <x:alignment horizontal="left" vertical="center" wrapText="1"/>
    </x:xf>
    <x:xf numFmtId="0" fontId="14" fillId="10" borderId="0" xfId="0" applyFont="1" applyFill="1" applyAlignment="1">
      <x:alignment horizontal="left" vertical="center" wrapText="1"/>
    </x:xf>
    <x:xf numFmtId="0" fontId="14" fillId="10" borderId="10" xfId="0" applyFont="1" applyFill="1" applyBorder="1" applyAlignment="1">
      <x:alignment horizontal="left" vertical="center" wrapText="1"/>
    </x:xf>
    <x:xf numFmtId="0" fontId="14" fillId="10" borderId="11" xfId="0" applyFont="1" applyFill="1" applyBorder="1" applyAlignment="1">
      <x:alignment horizontal="left" vertical="center" wrapText="1"/>
    </x:xf>
    <x:xf numFmtId="0" fontId="14" fillId="10" borderId="12" xfId="0" applyFont="1" applyFill="1" applyBorder="1" applyAlignment="1">
      <x:alignment horizontal="left" vertical="center" wrapText="1"/>
    </x:xf>
    <x:xf numFmtId="0" fontId="14" fillId="10" borderId="13" xfId="0" applyFont="1" applyFill="1" applyBorder="1" applyAlignment="1">
      <x:alignment horizontal="left" vertical="center" wrapText="1"/>
    </x:xf>
    <x:xf numFmtId="0" fontId="15" fillId="9" borderId="6" xfId="0" applyFont="1" applyFill="1" applyBorder="1" applyAlignment="1">
      <x:alignment horizontal="left" vertical="center" wrapText="1"/>
    </x:xf>
    <x:xf numFmtId="0" fontId="15" fillId="9" borderId="7" xfId="0" applyFont="1" applyFill="1" applyBorder="1" applyAlignment="1">
      <x:alignment horizontal="left" vertical="center" wrapText="1"/>
    </x:xf>
    <x:xf numFmtId="0" fontId="15" fillId="9" borderId="8" xfId="0" applyFont="1" applyFill="1" applyBorder="1" applyAlignment="1">
      <x:alignment horizontal="left" vertical="center" wrapText="1"/>
    </x:xf>
    <x:xf numFmtId="0" fontId="15" fillId="9" borderId="9" xfId="0" applyFont="1" applyFill="1" applyBorder="1" applyAlignment="1">
      <x:alignment horizontal="left" vertical="center" wrapText="1"/>
    </x:xf>
    <x:xf numFmtId="0" fontId="15" fillId="9" borderId="0" xfId="0" applyFont="1" applyFill="1" applyAlignment="1">
      <x:alignment horizontal="left" vertical="center" wrapText="1"/>
    </x:xf>
    <x:xf numFmtId="0" fontId="15" fillId="9" borderId="10" xfId="0" applyFont="1" applyFill="1" applyBorder="1" applyAlignment="1">
      <x:alignment horizontal="left" vertical="center" wrapText="1"/>
    </x:xf>
    <x:xf numFmtId="0" fontId="15" fillId="9" borderId="11" xfId="0" applyFont="1" applyFill="1" applyBorder="1" applyAlignment="1">
      <x:alignment horizontal="left" vertical="center" wrapText="1"/>
    </x:xf>
    <x:xf numFmtId="0" fontId="15" fillId="9" borderId="12" xfId="0" applyFont="1" applyFill="1" applyBorder="1" applyAlignment="1">
      <x:alignment horizontal="left" vertical="center" wrapText="1"/>
    </x:xf>
    <x:xf numFmtId="0" fontId="15" fillId="9" borderId="13" xfId="0" applyFont="1" applyFill="1" applyBorder="1" applyAlignment="1">
      <x:alignment horizontal="left" vertical="center" wrapText="1"/>
    </x:xf>
    <x:xf numFmtId="170" fontId="11" fillId="10" borderId="9" xfId="0" applyNumberFormat="1" applyFont="1" applyFill="1" applyBorder="1" applyAlignment="1">
      <x:alignment horizontal="left" vertical="center"/>
    </x:xf>
    <x:xf numFmtId="170" fontId="11" fillId="10" borderId="0" xfId="0" applyNumberFormat="1" applyFont="1" applyFill="1" applyAlignment="1">
      <x:alignment horizontal="left" vertical="center"/>
    </x:xf>
    <x:xf numFmtId="170" fontId="11" fillId="10" borderId="10" xfId="0" applyNumberFormat="1" applyFont="1" applyFill="1" applyBorder="1" applyAlignment="1">
      <x:alignment horizontal="left" vertical="center"/>
    </x:xf>
    <x:xf numFmtId="167" fontId="11" fillId="10" borderId="9" xfId="0" applyNumberFormat="1" applyFont="1" applyFill="1" applyBorder="1" applyAlignment="1">
      <x:alignment horizontal="left" vertical="center"/>
    </x:xf>
    <x:xf numFmtId="167" fontId="11" fillId="10" borderId="0" xfId="0" applyNumberFormat="1" applyFont="1" applyFill="1" applyAlignment="1">
      <x:alignment horizontal="left" vertical="center"/>
    </x:xf>
    <x:xf numFmtId="167" fontId="11" fillId="10" borderId="10" xfId="0" applyNumberFormat="1" applyFont="1" applyFill="1" applyBorder="1" applyAlignment="1">
      <x:alignment horizontal="left" vertical="center"/>
    </x:xf>
    <x:xf numFmtId="168" fontId="11" fillId="10" borderId="9" xfId="0" applyNumberFormat="1" applyFont="1" applyFill="1" applyBorder="1" applyAlignment="1">
      <x:alignment horizontal="left" vertical="center"/>
    </x:xf>
    <x:xf numFmtId="168" fontId="11" fillId="10" borderId="0" xfId="0" applyNumberFormat="1" applyFont="1" applyFill="1" applyAlignment="1">
      <x:alignment horizontal="left" vertical="center"/>
    </x:xf>
    <x:xf numFmtId="168" fontId="11" fillId="10" borderId="10" xfId="0" applyNumberFormat="1" applyFont="1" applyFill="1" applyBorder="1" applyAlignment="1">
      <x:alignment horizontal="left" vertical="center"/>
    </x:xf>
    <x:xf numFmtId="0" fontId="4" fillId="6" borderId="1" xfId="0" applyFont="1" applyFill="1" applyBorder="1" applyAlignment="1">
      <x:alignment horizontal="left" vertical="center" wrapText="1"/>
    </x:xf>
    <x:xf numFmtId="0" fontId="3" fillId="7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4" fillId="4" borderId="1" xfId="0" applyFont="1" applyFill="1" applyBorder="1" applyAlignment="1">
      <x:alignment horizontal="left" vertical="center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14" xfId="0" applyNumberFormat="1" applyFont="1" applyFill="1" applyBorder="1"/>
    <x:xf numFmtId="0" fontId="3" fillId="13" borderId="15" xfId="0" applyNumberFormat="1" applyFont="1" applyFill="1" applyBorder="1"/>
    <x:xf numFmtId="0" fontId="3" fillId="13" borderId="16" xfId="0" applyNumberFormat="1" applyFont="1" applyFill="1" applyBorder="1"/>
    <x:xf numFmtId="0" fontId="0" fillId="14" borderId="0" xfId="0" applyNumberFormat="1" applyFont="1" applyFill="1" applyBorder="1"/>
    <x:xf numFmtId="0" fontId="20" fillId="14" borderId="0" xfId="0" applyNumberFormat="1" applyFont="1" applyFill="1" applyBorder="1"/>
    <x:xf numFmtId="0" fontId="21" fillId="14" borderId="0" xfId="0" applyNumberFormat="1" applyFont="1" applyFill="1" applyBorder="1"/>
    <x:xf numFmtId="0" fontId="22" fillId="0" borderId="0" xfId="0" applyNumberFormat="1" applyFont="1" applyFill="1" applyBorder="1"/>
    <x:xf numFmtId="0" fontId="22" fillId="0" borderId="0" xfId="0" applyNumberFormat="1" applyFont="1" applyFill="1" applyBorder="1" applyAlignment="1">
      <x:alignment wrapText="1"/>
    </x:xf>
    <x:xf numFmtId="0" fontId="23" fillId="0" borderId="0" xfId="0" applyNumberFormat="1" applyFont="1" applyFill="1" applyBorder="1"/>
    <x:xf numFmtId="0" fontId="0" fillId="15" borderId="0" xfId="0" applyNumberFormat="1" applyFont="1" applyFill="1" applyBorder="1"/>
    <x:xf numFmtId="0" fontId="23" fillId="15" borderId="0" xfId="0" applyNumberFormat="1" applyFont="1" applyFill="1" applyBorder="1"/>
    <x:xf numFmtId="200" fontId="23" fillId="15" borderId="0" xfId="0" applyNumberFormat="1" applyFont="1" applyFill="1" applyBorder="1"/>
    <x:xf numFmtId="0" fontId="24" fillId="0" borderId="0" xfId="0" applyNumberFormat="1" applyFont="1" applyFill="1" applyBorder="1"/>
    <x:xf numFmtId="0" fontId="2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14" borderId="0" xfId="0" applyNumberFormat="1" applyFont="1" applyFill="1" applyBorder="1"/>
    <x:xf numFmtId="0" fontId="5" fillId="14" borderId="17" xfId="0" applyNumberFormat="1" applyFont="1" applyFill="1" applyBorder="1"/>
    <x:xf numFmtId="0" fontId="5" fillId="14" borderId="18" xfId="0" applyNumberFormat="1" applyFont="1" applyFill="1" applyBorder="1"/>
    <x:xf numFmtId="0" fontId="5" fillId="14" borderId="19" xfId="0" applyNumberFormat="1" applyFont="1" applyFill="1" applyBorder="1"/>
    <x:xf numFmtId="0" fontId="5" fillId="14" borderId="17" xfId="0" applyNumberFormat="1" applyFont="1" applyFill="1" applyBorder="1" applyAlignment="1">
      <x:alignment wrapText="1"/>
    </x:xf>
    <x:xf numFmtId="0" fontId="5" fillId="14" borderId="18" xfId="0" applyNumberFormat="1" applyFont="1" applyFill="1" applyBorder="1" applyAlignment="1">
      <x:alignment wrapText="1"/>
    </x:xf>
    <x:xf numFmtId="0" fontId="5" fillId="14" borderId="19" xfId="0" applyNumberFormat="1" applyFont="1" applyFill="1" applyBorder="1" applyAlignment="1">
      <x:alignment wrapText="1"/>
    </x:xf>
    <x:xf numFmtId="0" fontId="5" fillId="14" borderId="17" xfId="0" applyNumberFormat="1" applyFont="1" applyFill="1" applyBorder="1" applyAlignment="1">
      <x:alignment horizontal="center" wrapText="1"/>
    </x:xf>
    <x:xf numFmtId="0" fontId="5" fillId="14" borderId="18" xfId="0" applyNumberFormat="1" applyFont="1" applyFill="1" applyBorder="1" applyAlignment="1">
      <x:alignment horizontal="center" wrapText="1"/>
    </x:xf>
    <x:xf numFmtId="0" fontId="5" fillId="14" borderId="19" xfId="0" applyNumberFormat="1" applyFont="1" applyFill="1" applyBorder="1" applyAlignment="1">
      <x:alignment horizontal="center" wrapText="1"/>
    </x:xf>
    <x:xf numFmtId="0" fontId="5" fillId="14" borderId="17" xfId="0" applyNumberFormat="1" applyFont="1" applyFill="1" applyBorder="1" applyAlignment="1">
      <x:alignment horizontal="center" vertical="center" wrapText="1"/>
    </x:xf>
    <x:xf numFmtId="0" fontId="5" fillId="14" borderId="18" xfId="0" applyNumberFormat="1" applyFont="1" applyFill="1" applyBorder="1" applyAlignment="1">
      <x:alignment horizontal="center" vertical="center" wrapText="1"/>
    </x:xf>
    <x:xf numFmtId="0" fontId="5" fillId="14" borderId="19" xfId="0" applyNumberFormat="1" applyFont="1" applyFill="1" applyBorder="1" applyAlignment="1">
      <x:alignment horizontal="center" vertical="center" wrapText="1"/>
    </x:xf>
    <x:xf numFmtId="0" fontId="25" fillId="0" borderId="0" xfId="0" applyNumberFormat="1" applyFont="1" applyFill="1" applyBorder="1"/>
    <x:xf numFmtId="0" fontId="25" fillId="0" borderId="0" xfId="0" applyNumberFormat="1" applyFont="1" applyFill="1" applyBorder="1" applyAlignment="1">
      <x:alignment wrapText="1"/>
    </x:xf>
    <x:xf numFmtId="0" fontId="25" fillId="0" borderId="0" xfId="0" applyNumberFormat="1" applyFont="1" applyFill="1" applyBorder="1" applyAlignment="1">
      <x:alignment vertical="top" wrapText="1"/>
    </x:xf>
    <x:xf numFmtId="201" fontId="25" fillId="0" borderId="0" xfId="0" applyNumberFormat="1" applyFont="1" applyFill="1" applyBorder="1"/>
    <x:xf numFmtId="202" fontId="25" fillId="0" borderId="0" xfId="0" applyNumberFormat="1" applyFont="1" applyFill="1" applyBorder="1"/>
    <x:xf numFmtId="203" fontId="25" fillId="0" borderId="0" xfId="0" applyNumberFormat="1" applyFont="1" applyFill="1" applyBorder="1"/>
    <x:xf numFmtId="204" fontId="25" fillId="0" borderId="0" xfId="0" applyNumberFormat="1" applyFont="1" applyFill="1" applyBorder="1"/>
    <x:xf numFmtId="204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6" fillId="3" borderId="1" xfId="0" applyNumberFormat="1" applyFont="1" applyFill="1" applyBorder="1" applyAlignment="1">
      <x:alignment horizontal="center" vertical="center" wrapText="1"/>
    </x:xf>
    <x:xf numFmtId="0" fontId="25" fillId="6" borderId="1" xfId="0" applyNumberFormat="1" applyFont="1" applyFill="1" applyBorder="1" applyAlignment="1">
      <x:alignment horizontal="left" vertical="center"/>
    </x:xf>
    <x:xf numFmtId="165" fontId="25" fillId="6" borderId="1" xfId="0" applyNumberFormat="1" applyFont="1" applyFill="1" applyBorder="1" applyAlignment="1">
      <x:alignment horizontal="left" vertical="center"/>
    </x:xf>
    <x:xf numFmtId="17" fontId="25" fillId="6" borderId="1" xfId="0" applyNumberFormat="1" applyFont="1" applyFill="1" applyBorder="1" applyAlignment="1">
      <x:alignment horizontal="left" vertical="center"/>
    </x:xf>
    <x:xf numFmtId="168" fontId="25" fillId="6" borderId="1" xfId="0" applyNumberFormat="1" applyFont="1" applyFill="1" applyBorder="1" applyAlignment="1">
      <x:alignment horizontal="left" vertical="center"/>
    </x:xf>
    <x:xf numFmtId="166" fontId="25" fillId="6" borderId="1" xfId="0" applyNumberFormat="1" applyFont="1" applyFill="1" applyBorder="1" applyAlignment="1">
      <x:alignment horizontal="left" vertical="center"/>
    </x:xf>
    <x:xf numFmtId="167" fontId="25" fillId="6" borderId="1" xfId="0" applyNumberFormat="1" applyFont="1" applyFill="1" applyBorder="1" applyAlignment="1">
      <x:alignment horizontal="left" vertical="center"/>
    </x:xf>
    <x:xf numFmtId="170" fontId="25" fillId="6" borderId="1" xfId="0" applyNumberFormat="1" applyFont="1" applyFill="1" applyBorder="1" applyAlignment="1">
      <x:alignment horizontal="left" vertical="center"/>
    </x:xf>
    <x:xf numFmtId="0" fontId="26" fillId="14" borderId="1" xfId="0" applyNumberFormat="1" applyFont="1" applyFill="1" applyBorder="1" applyAlignment="1">
      <x:alignment horizontal="center" vertical="center" wrapText="1"/>
    </x:xf>
    <x:xf numFmtId="0" fontId="5" fillId="14" borderId="1" xfId="0" applyNumberFormat="1" applyFont="1" applyFill="1" applyBorder="1" applyAlignment="1">
      <x:alignment horizontal="center" vertical="center" wrapText="1"/>
    </x:xf>
    <x:xf numFmtId="0" fontId="25" fillId="14" borderId="1" xfId="0" applyNumberFormat="1" applyFont="1" applyFill="1" applyBorder="1" applyAlignment="1">
      <x:alignment horizontal="left" vertical="center"/>
    </x:xf>
    <x:xf numFmtId="0" fontId="25" fillId="14" borderId="0" xfId="0" applyNumberFormat="1" applyFont="1" applyFill="1" applyBorder="1"/>
    <x:xf numFmtId="0" fontId="5" fillId="14" borderId="1" xfId="0" applyNumberFormat="1" applyFont="1" applyFill="1" applyBorder="1" applyAlignment="1">
      <x:alignment horizontal="left" vertical="center"/>
    </x:xf>
    <x:xf numFmtId="204" fontId="25" fillId="6" borderId="1" xfId="0" applyNumberFormat="1" applyFont="1" applyFill="1" applyBorder="1" applyAlignment="1">
      <x:alignment horizontal="left" vertical="center"/>
    </x:xf>
    <x:xf numFmtId="201" fontId="25" fillId="6" borderId="1" xfId="0" applyNumberFormat="1" applyFont="1" applyFill="1" applyBorder="1" applyAlignment="1">
      <x:alignment horizontal="left" vertical="center"/>
    </x:xf>
    <x:xf numFmtId="202" fontId="25" fillId="6" borderId="1" xfId="0" applyNumberFormat="1" applyFont="1" applyFill="1" applyBorder="1" applyAlignment="1">
      <x:alignment horizontal="left" vertical="center"/>
    </x:xf>
    <x:xf numFmtId="203" fontId="25" fillId="6" borderId="1" xfId="0" applyNumberFormat="1" applyFont="1" applyFill="1" applyBorder="1" applyAlignment="1">
      <x:alignment horizontal="left" vertical="center"/>
    </x:xf>
    <x:xf numFmtId="202" fontId="11" fillId="10" borderId="9" xfId="0" applyNumberFormat="1" applyFont="1" applyFill="1" applyBorder="1" applyAlignment="1">
      <x:alignment horizontal="left" vertical="center"/>
    </x:xf>
    <x:xf numFmtId="205" fontId="12" fillId="10" borderId="11" xfId="0" applyNumberFormat="1" applyFont="1" applyFill="1" applyBorder="1" applyAlignment="1">
      <x:alignment horizontal="right" vertical="center"/>
    </x:xf>
    <x:xf numFmtId="205" fontId="5" fillId="10" borderId="12" xfId="0" applyNumberFormat="1" applyFont="1" applyFill="1" applyBorder="1" applyAlignment="1">
      <x:alignment horizontal="right" vertical="center"/>
    </x:xf>
    <x:xf numFmtId="203" fontId="11" fillId="10" borderId="9" xfId="0" applyNumberFormat="1" applyFont="1" applyFill="1" applyBorder="1" applyAlignment="1">
      <x:alignment horizontal="left" vertical="center"/>
    </x:xf>
    <x:xf numFmtId="0" fontId="10" fillId="13" borderId="6" xfId="0" applyNumberFormat="1" applyFont="1" applyFill="1" applyBorder="1" applyAlignment="1">
      <x:alignment horizontal="left" vertical="center"/>
    </x:xf>
    <x:xf numFmtId="0" fontId="10" fillId="13" borderId="7" xfId="0" applyNumberFormat="1" applyFont="1" applyFill="1" applyBorder="1" applyAlignment="1">
      <x:alignment horizontal="left" vertical="center"/>
    </x:xf>
    <x:xf numFmtId="0" fontId="10" fillId="13" borderId="8" xfId="0" applyNumberFormat="1" applyFont="1" applyFill="1" applyBorder="1" applyAlignment="1">
      <x:alignment horizontal="left" vertical="center"/>
    </x:xf>
    <x:xf numFmtId="0" fontId="3" fillId="13" borderId="6" xfId="0" applyNumberFormat="1" applyFont="1" applyFill="1" applyBorder="1" applyAlignment="1">
      <x:alignment horizontal="left" vertical="center"/>
    </x:xf>
    <x:xf numFmtId="0" fontId="3" fillId="13" borderId="7" xfId="0" applyNumberFormat="1" applyFont="1" applyFill="1" applyBorder="1" applyAlignment="1">
      <x:alignment horizontal="left" vertical="center"/>
    </x:xf>
    <x:xf numFmtId="0" fontId="3" fillId="13" borderId="8" xfId="0" applyNumberFormat="1" applyFont="1" applyFill="1" applyBorder="1" applyAlignment="1">
      <x:alignment horizontal="left" vertical="center"/>
    </x:xf>
    <x:xf numFmtId="167" fontId="11" fillId="16" borderId="9" xfId="0" applyNumberFormat="1" applyFont="1" applyFill="1" applyBorder="1" applyAlignment="1">
      <x:alignment horizontal="left" vertical="center"/>
    </x:xf>
    <x:xf numFmtId="167" fontId="11" fillId="16" borderId="0" xfId="0" applyNumberFormat="1" applyFont="1" applyFill="1" applyBorder="1" applyAlignment="1">
      <x:alignment horizontal="left" vertical="center"/>
    </x:xf>
    <x:xf numFmtId="167" fontId="11" fillId="16" borderId="10" xfId="0" applyNumberFormat="1" applyFont="1" applyFill="1" applyBorder="1" applyAlignment="1">
      <x:alignment horizontal="left" vertical="center"/>
    </x:xf>
    <x:xf numFmtId="168" fontId="11" fillId="16" borderId="9" xfId="0" applyNumberFormat="1" applyFont="1" applyFill="1" applyBorder="1" applyAlignment="1">
      <x:alignment horizontal="left" vertical="center"/>
    </x:xf>
    <x:xf numFmtId="168" fontId="11" fillId="16" borderId="0" xfId="0" applyNumberFormat="1" applyFont="1" applyFill="1" applyBorder="1" applyAlignment="1">
      <x:alignment horizontal="left" vertical="center"/>
    </x:xf>
    <x:xf numFmtId="168" fontId="11" fillId="16" borderId="10" xfId="0" applyNumberFormat="1" applyFont="1" applyFill="1" applyBorder="1" applyAlignment="1">
      <x:alignment horizontal="left" vertical="center"/>
    </x:xf>
    <x:xf numFmtId="166" fontId="11" fillId="16" borderId="9" xfId="0" applyNumberFormat="1" applyFont="1" applyFill="1" applyBorder="1" applyAlignment="1">
      <x:alignment horizontal="left" vertical="center"/>
    </x:xf>
    <x:xf numFmtId="166" fontId="11" fillId="16" borderId="0" xfId="0" applyNumberFormat="1" applyFont="1" applyFill="1" applyBorder="1" applyAlignment="1">
      <x:alignment horizontal="left" vertical="center"/>
    </x:xf>
    <x:xf numFmtId="166" fontId="11" fillId="16" borderId="10" xfId="0" applyNumberFormat="1" applyFont="1" applyFill="1" applyBorder="1" applyAlignment="1">
      <x:alignment horizontal="left" vertical="center"/>
    </x:xf>
    <x:xf numFmtId="170" fontId="11" fillId="16" borderId="9" xfId="0" applyNumberFormat="1" applyFont="1" applyFill="1" applyBorder="1" applyAlignment="1">
      <x:alignment horizontal="left" vertical="center"/>
    </x:xf>
    <x:xf numFmtId="170" fontId="11" fillId="16" borderId="0" xfId="0" applyNumberFormat="1" applyFont="1" applyFill="1" applyBorder="1" applyAlignment="1">
      <x:alignment horizontal="left" vertical="center"/>
    </x:xf>
    <x:xf numFmtId="170" fontId="11" fillId="16" borderId="10" xfId="0" applyNumberFormat="1" applyFont="1" applyFill="1" applyBorder="1" applyAlignment="1">
      <x:alignment horizontal="left" vertical="center"/>
    </x:xf>
    <x:xf numFmtId="171" fontId="12" fillId="16" borderId="11" xfId="0" applyNumberFormat="1" applyFont="1" applyFill="1" applyBorder="1" applyAlignment="1">
      <x:alignment horizontal="right" vertical="center"/>
    </x:xf>
    <x:xf numFmtId="0" fontId="13" fillId="16" borderId="12" xfId="0" applyNumberFormat="1" applyFont="1" applyFill="1" applyBorder="1" applyAlignment="1">
      <x:alignment horizontal="left" vertical="center"/>
    </x:xf>
    <x:xf numFmtId="171" fontId="5" fillId="16" borderId="12" xfId="0" applyNumberFormat="1" applyFont="1" applyFill="1" applyBorder="1" applyAlignment="1">
      <x:alignment horizontal="right" vertical="center"/>
    </x:xf>
    <x:xf numFmtId="0" fontId="13" fillId="16" borderId="13" xfId="0" applyNumberFormat="1" applyFont="1" applyFill="1" applyBorder="1" applyAlignment="1">
      <x:alignment horizontal="left" vertical="center"/>
    </x:xf>
    <x:xf numFmtId="167" fontId="23" fillId="16" borderId="9" xfId="0" applyNumberFormat="1" applyFont="1" applyFill="1" applyBorder="1" applyAlignment="1">
      <x:alignment horizontal="left" vertical="center"/>
    </x:xf>
    <x:xf numFmtId="167" fontId="23" fillId="16" borderId="0" xfId="0" applyNumberFormat="1" applyFont="1" applyFill="1" applyBorder="1" applyAlignment="1">
      <x:alignment horizontal="left" vertical="center"/>
    </x:xf>
    <x:xf numFmtId="167" fontId="23" fillId="16" borderId="10" xfId="0" applyNumberFormat="1" applyFont="1" applyFill="1" applyBorder="1" applyAlignment="1">
      <x:alignment horizontal="left" vertical="center"/>
    </x:xf>
    <x:xf numFmtId="168" fontId="23" fillId="16" borderId="9" xfId="0" applyNumberFormat="1" applyFont="1" applyFill="1" applyBorder="1" applyAlignment="1">
      <x:alignment horizontal="left" vertical="center"/>
    </x:xf>
    <x:xf numFmtId="168" fontId="23" fillId="16" borderId="0" xfId="0" applyNumberFormat="1" applyFont="1" applyFill="1" applyBorder="1" applyAlignment="1">
      <x:alignment horizontal="left" vertical="center"/>
    </x:xf>
    <x:xf numFmtId="168" fontId="23" fillId="16" borderId="10" xfId="0" applyNumberFormat="1" applyFont="1" applyFill="1" applyBorder="1" applyAlignment="1">
      <x:alignment horizontal="left" vertical="center"/>
    </x:xf>
    <x:xf numFmtId="166" fontId="23" fillId="16" borderId="9" xfId="0" applyNumberFormat="1" applyFont="1" applyFill="1" applyBorder="1" applyAlignment="1">
      <x:alignment horizontal="left" vertical="center"/>
    </x:xf>
    <x:xf numFmtId="166" fontId="23" fillId="16" borderId="0" xfId="0" applyNumberFormat="1" applyFont="1" applyFill="1" applyBorder="1" applyAlignment="1">
      <x:alignment horizontal="left" vertical="center"/>
    </x:xf>
    <x:xf numFmtId="166" fontId="23" fillId="16" borderId="10" xfId="0" applyNumberFormat="1" applyFont="1" applyFill="1" applyBorder="1" applyAlignment="1">
      <x:alignment horizontal="left" vertical="center"/>
    </x:xf>
    <x:xf numFmtId="170" fontId="23" fillId="16" borderId="9" xfId="0" applyNumberFormat="1" applyFont="1" applyFill="1" applyBorder="1" applyAlignment="1">
      <x:alignment horizontal="left" vertical="center"/>
    </x:xf>
    <x:xf numFmtId="170" fontId="23" fillId="16" borderId="0" xfId="0" applyNumberFormat="1" applyFont="1" applyFill="1" applyBorder="1" applyAlignment="1">
      <x:alignment horizontal="left" vertical="center"/>
    </x:xf>
    <x:xf numFmtId="170" fontId="23" fillId="16" borderId="10" xfId="0" applyNumberFormat="1" applyFont="1" applyFill="1" applyBorder="1" applyAlignment="1">
      <x:alignment horizontal="left" vertical="center"/>
    </x:xf>
    <x:xf numFmtId="171" fontId="23" fillId="16" borderId="11" xfId="0" applyNumberFormat="1" applyFont="1" applyFill="1" applyBorder="1" applyAlignment="1">
      <x:alignment horizontal="right" vertical="center"/>
    </x:xf>
    <x:xf numFmtId="0" fontId="24" fillId="16" borderId="12" xfId="0" applyNumberFormat="1" applyFont="1" applyFill="1" applyBorder="1" applyAlignment="1">
      <x:alignment horizontal="left" vertical="center"/>
    </x:xf>
    <x:xf numFmtId="171" fontId="23" fillId="16" borderId="12" xfId="0" applyNumberFormat="1" applyFont="1" applyFill="1" applyBorder="1" applyAlignment="1">
      <x:alignment horizontal="right" vertical="center"/>
    </x:xf>
    <x:xf numFmtId="0" fontId="24" fillId="16" borderId="13" xfId="0" applyNumberFormat="1" applyFont="1" applyFill="1" applyBorder="1" applyAlignment="1">
      <x:alignment horizontal="left" vertical="center"/>
    </x:xf>
    <x:xf numFmtId="167" fontId="23" fillId="16" borderId="20" xfId="0" applyNumberFormat="1" applyFont="1" applyFill="1" applyBorder="1" applyAlignment="1">
      <x:alignment horizontal="left" vertical="center"/>
    </x:xf>
    <x:xf numFmtId="167" fontId="23" fillId="16" borderId="21" xfId="0" applyNumberFormat="1" applyFont="1" applyFill="1" applyBorder="1" applyAlignment="1">
      <x:alignment horizontal="left" vertical="center"/>
    </x:xf>
    <x:xf numFmtId="167" fontId="23" fillId="16" borderId="22" xfId="0" applyNumberFormat="1" applyFont="1" applyFill="1" applyBorder="1" applyAlignment="1">
      <x:alignment horizontal="left" vertical="center"/>
    </x:xf>
    <x:xf numFmtId="168" fontId="23" fillId="16" borderId="23" xfId="0" applyNumberFormat="1" applyFont="1" applyFill="1" applyBorder="1" applyAlignment="1">
      <x:alignment horizontal="left" vertical="center"/>
    </x:xf>
    <x:xf numFmtId="168" fontId="23" fillId="16" borderId="21" xfId="0" applyNumberFormat="1" applyFont="1" applyFill="1" applyBorder="1" applyAlignment="1">
      <x:alignment horizontal="left" vertical="center"/>
    </x:xf>
    <x:xf numFmtId="168" fontId="23" fillId="16" borderId="22" xfId="0" applyNumberFormat="1" applyFont="1" applyFill="1" applyBorder="1" applyAlignment="1">
      <x:alignment horizontal="left" vertical="center"/>
    </x:xf>
    <x:xf numFmtId="166" fontId="23" fillId="16" borderId="23" xfId="0" applyNumberFormat="1" applyFont="1" applyFill="1" applyBorder="1" applyAlignment="1">
      <x:alignment horizontal="left" vertical="center"/>
    </x:xf>
    <x:xf numFmtId="166" fontId="23" fillId="16" borderId="21" xfId="0" applyNumberFormat="1" applyFont="1" applyFill="1" applyBorder="1" applyAlignment="1">
      <x:alignment horizontal="left" vertical="center"/>
    </x:xf>
    <x:xf numFmtId="166" fontId="23" fillId="16" borderId="22" xfId="0" applyNumberFormat="1" applyFont="1" applyFill="1" applyBorder="1" applyAlignment="1">
      <x:alignment horizontal="left" vertical="center"/>
    </x:xf>
    <x:xf numFmtId="170" fontId="23" fillId="16" borderId="23" xfId="0" applyNumberFormat="1" applyFont="1" applyFill="1" applyBorder="1" applyAlignment="1">
      <x:alignment horizontal="left" vertical="center"/>
    </x:xf>
    <x:xf numFmtId="170" fontId="23" fillId="16" borderId="21" xfId="0" applyNumberFormat="1" applyFont="1" applyFill="1" applyBorder="1" applyAlignment="1">
      <x:alignment horizontal="left" vertical="center"/>
    </x:xf>
    <x:xf numFmtId="170" fontId="23" fillId="16" borderId="24" xfId="0" applyNumberFormat="1" applyFont="1" applyFill="1" applyBorder="1" applyAlignment="1">
      <x:alignment horizontal="left" vertical="center"/>
    </x:xf>
    <x:xf numFmtId="167" fontId="23" fillId="16" borderId="25" xfId="0" applyNumberFormat="1" applyFont="1" applyFill="1" applyBorder="1" applyAlignment="1">
      <x:alignment horizontal="left" vertical="center"/>
    </x:xf>
    <x:xf numFmtId="170" fontId="23" fillId="16" borderId="26" xfId="0" applyNumberFormat="1" applyFont="1" applyFill="1" applyBorder="1" applyAlignment="1">
      <x:alignment horizontal="left" vertical="center"/>
    </x:xf>
    <x:xf numFmtId="171" fontId="23" fillId="16" borderId="27" xfId="0" applyNumberFormat="1" applyFont="1" applyFill="1" applyBorder="1" applyAlignment="1">
      <x:alignment horizontal="right" vertical="center"/>
    </x:xf>
    <x:xf numFmtId="0" fontId="24" fillId="16" borderId="28" xfId="0" applyNumberFormat="1" applyFont="1" applyFill="1" applyBorder="1" applyAlignment="1">
      <x:alignment horizontal="left" vertical="center"/>
    </x:xf>
    <x:xf numFmtId="171" fontId="23" fillId="16" borderId="28" xfId="0" applyNumberFormat="1" applyFont="1" applyFill="1" applyBorder="1" applyAlignment="1">
      <x:alignment horizontal="right" vertical="center"/>
    </x:xf>
    <x:xf numFmtId="0" fontId="24" fillId="16" borderId="29" xfId="0" applyNumberFormat="1" applyFont="1" applyFill="1" applyBorder="1" applyAlignment="1">
      <x:alignment horizontal="left" vertical="center"/>
    </x:xf>
    <x:xf numFmtId="171" fontId="23" fillId="16" borderId="30" xfId="0" applyNumberFormat="1" applyFont="1" applyFill="1" applyBorder="1" applyAlignment="1">
      <x:alignment horizontal="right" vertical="center"/>
    </x:xf>
    <x:xf numFmtId="0" fontId="24" fillId="16" borderId="31" xfId="0" applyNumberFormat="1" applyFont="1" applyFill="1" applyBorder="1" applyAlignment="1">
      <x:alignment horizontal="left" vertical="center"/>
    </x:xf>
    <x:xf numFmtId="167" fontId="23" fillId="16" borderId="20" xfId="0" applyNumberFormat="1" applyFont="1" applyFill="1" applyBorder="1" applyAlignment="1">
      <x:alignment horizontal="left" vertical="center" wrapText="1"/>
    </x:xf>
    <x:xf numFmtId="167" fontId="23" fillId="16" borderId="21" xfId="0" applyNumberFormat="1" applyFont="1" applyFill="1" applyBorder="1" applyAlignment="1">
      <x:alignment horizontal="left" vertical="center" wrapText="1"/>
    </x:xf>
    <x:xf numFmtId="167" fontId="23" fillId="16" borderId="22" xfId="0" applyNumberFormat="1" applyFont="1" applyFill="1" applyBorder="1" applyAlignment="1">
      <x:alignment horizontal="left" vertical="center" wrapText="1"/>
    </x:xf>
    <x:xf numFmtId="168" fontId="23" fillId="16" borderId="23" xfId="0" applyNumberFormat="1" applyFont="1" applyFill="1" applyBorder="1" applyAlignment="1">
      <x:alignment horizontal="left" vertical="center" wrapText="1"/>
    </x:xf>
    <x:xf numFmtId="168" fontId="23" fillId="16" borderId="21" xfId="0" applyNumberFormat="1" applyFont="1" applyFill="1" applyBorder="1" applyAlignment="1">
      <x:alignment horizontal="left" vertical="center" wrapText="1"/>
    </x:xf>
    <x:xf numFmtId="168" fontId="23" fillId="16" borderId="22" xfId="0" applyNumberFormat="1" applyFont="1" applyFill="1" applyBorder="1" applyAlignment="1">
      <x:alignment horizontal="left" vertical="center" wrapText="1"/>
    </x:xf>
    <x:xf numFmtId="166" fontId="23" fillId="16" borderId="23" xfId="0" applyNumberFormat="1" applyFont="1" applyFill="1" applyBorder="1" applyAlignment="1">
      <x:alignment horizontal="left" vertical="center" wrapText="1"/>
    </x:xf>
    <x:xf numFmtId="166" fontId="23" fillId="16" borderId="21" xfId="0" applyNumberFormat="1" applyFont="1" applyFill="1" applyBorder="1" applyAlignment="1">
      <x:alignment horizontal="left" vertical="center" wrapText="1"/>
    </x:xf>
    <x:xf numFmtId="166" fontId="23" fillId="16" borderId="22" xfId="0" applyNumberFormat="1" applyFont="1" applyFill="1" applyBorder="1" applyAlignment="1">
      <x:alignment horizontal="left" vertical="center" wrapText="1"/>
    </x:xf>
    <x:xf numFmtId="170" fontId="23" fillId="16" borderId="23" xfId="0" applyNumberFormat="1" applyFont="1" applyFill="1" applyBorder="1" applyAlignment="1">
      <x:alignment horizontal="left" vertical="center" wrapText="1"/>
    </x:xf>
    <x:xf numFmtId="170" fontId="23" fillId="16" borderId="21" xfId="0" applyNumberFormat="1" applyFont="1" applyFill="1" applyBorder="1" applyAlignment="1">
      <x:alignment horizontal="left" vertical="center" wrapText="1"/>
    </x:xf>
    <x:xf numFmtId="170" fontId="23" fillId="16" borderId="24" xfId="0" applyNumberFormat="1" applyFont="1" applyFill="1" applyBorder="1" applyAlignment="1">
      <x:alignment horizontal="left" vertical="center" wrapText="1"/>
    </x:xf>
    <x:xf numFmtId="167" fontId="23" fillId="16" borderId="25" xfId="0" applyNumberFormat="1" applyFont="1" applyFill="1" applyBorder="1" applyAlignment="1">
      <x:alignment horizontal="left" vertical="center" wrapText="1"/>
    </x:xf>
    <x:xf numFmtId="167" fontId="23" fillId="16" borderId="0" xfId="0" applyNumberFormat="1" applyFont="1" applyFill="1" applyBorder="1" applyAlignment="1">
      <x:alignment horizontal="left" vertical="center" wrapText="1"/>
    </x:xf>
    <x:xf numFmtId="167" fontId="23" fillId="16" borderId="10" xfId="0" applyNumberFormat="1" applyFont="1" applyFill="1" applyBorder="1" applyAlignment="1">
      <x:alignment horizontal="left" vertical="center" wrapText="1"/>
    </x:xf>
    <x:xf numFmtId="168" fontId="23" fillId="16" borderId="9" xfId="0" applyNumberFormat="1" applyFont="1" applyFill="1" applyBorder="1" applyAlignment="1">
      <x:alignment horizontal="left" vertical="center" wrapText="1"/>
    </x:xf>
    <x:xf numFmtId="168" fontId="23" fillId="16" borderId="0" xfId="0" applyNumberFormat="1" applyFont="1" applyFill="1" applyBorder="1" applyAlignment="1">
      <x:alignment horizontal="left" vertical="center" wrapText="1"/>
    </x:xf>
    <x:xf numFmtId="168" fontId="23" fillId="16" borderId="10" xfId="0" applyNumberFormat="1" applyFont="1" applyFill="1" applyBorder="1" applyAlignment="1">
      <x:alignment horizontal="left" vertical="center" wrapText="1"/>
    </x:xf>
    <x:xf numFmtId="166" fontId="23" fillId="16" borderId="9" xfId="0" applyNumberFormat="1" applyFont="1" applyFill="1" applyBorder="1" applyAlignment="1">
      <x:alignment horizontal="left" vertical="center" wrapText="1"/>
    </x:xf>
    <x:xf numFmtId="166" fontId="23" fillId="16" borderId="0" xfId="0" applyNumberFormat="1" applyFont="1" applyFill="1" applyBorder="1" applyAlignment="1">
      <x:alignment horizontal="left" vertical="center" wrapText="1"/>
    </x:xf>
    <x:xf numFmtId="166" fontId="23" fillId="16" borderId="10" xfId="0" applyNumberFormat="1" applyFont="1" applyFill="1" applyBorder="1" applyAlignment="1">
      <x:alignment horizontal="left" vertical="center" wrapText="1"/>
    </x:xf>
    <x:xf numFmtId="170" fontId="23" fillId="16" borderId="9" xfId="0" applyNumberFormat="1" applyFont="1" applyFill="1" applyBorder="1" applyAlignment="1">
      <x:alignment horizontal="left" vertical="center" wrapText="1"/>
    </x:xf>
    <x:xf numFmtId="170" fontId="23" fillId="16" borderId="0" xfId="0" applyNumberFormat="1" applyFont="1" applyFill="1" applyBorder="1" applyAlignment="1">
      <x:alignment horizontal="left" vertical="center" wrapText="1"/>
    </x:xf>
    <x:xf numFmtId="170" fontId="23" fillId="16" borderId="26" xfId="0" applyNumberFormat="1" applyFont="1" applyFill="1" applyBorder="1" applyAlignment="1">
      <x:alignment horizontal="left" vertical="center" wrapText="1"/>
    </x:xf>
    <x:xf numFmtId="171" fontId="23" fillId="16" borderId="27" xfId="0" applyNumberFormat="1" applyFont="1" applyFill="1" applyBorder="1" applyAlignment="1">
      <x:alignment horizontal="right" vertical="center" wrapText="1"/>
    </x:xf>
    <x:xf numFmtId="0" fontId="24" fillId="16" borderId="28" xfId="0" applyNumberFormat="1" applyFont="1" applyFill="1" applyBorder="1" applyAlignment="1">
      <x:alignment horizontal="left" vertical="center" wrapText="1"/>
    </x:xf>
    <x:xf numFmtId="171" fontId="23" fillId="16" borderId="28" xfId="0" applyNumberFormat="1" applyFont="1" applyFill="1" applyBorder="1" applyAlignment="1">
      <x:alignment horizontal="right" vertical="center" wrapText="1"/>
    </x:xf>
    <x:xf numFmtId="0" fontId="24" fillId="16" borderId="29" xfId="0" applyNumberFormat="1" applyFont="1" applyFill="1" applyBorder="1" applyAlignment="1">
      <x:alignment horizontal="left" vertical="center" wrapText="1"/>
    </x:xf>
    <x:xf numFmtId="171" fontId="23" fillId="16" borderId="30" xfId="0" applyNumberFormat="1" applyFont="1" applyFill="1" applyBorder="1" applyAlignment="1">
      <x:alignment horizontal="right" vertical="center" wrapText="1"/>
    </x:xf>
    <x:xf numFmtId="0" fontId="24" fillId="16" borderId="31" xfId="0" applyNumberFormat="1" applyFont="1" applyFill="1" applyBorder="1" applyAlignment="1">
      <x:alignment horizontal="left" vertical="center" wrapText="1"/>
    </x:xf>
    <x:xf numFmtId="201" fontId="6" fillId="8" borderId="0" xfId="0" applyNumberFormat="1" applyFont="1" applyFill="1" applyBorder="1" applyAlignment="1">
      <x:alignment vertical="center"/>
    </x:xf>
    <x:xf numFmtId="202" fontId="6" fillId="8" borderId="0" xfId="0" applyNumberFormat="1" applyFont="1" applyFill="1" applyBorder="1" applyAlignment="1">
      <x:alignment vertical="center"/>
    </x:xf>
    <x:xf numFmtId="203" fontId="6" fillId="8" borderId="0" xfId="0" applyNumberFormat="1" applyFont="1" applyFill="1" applyBorder="1" applyAlignment="1">
      <x:alignment vertical="center"/>
    </x:xf>
    <x:xf numFmtId="0" fontId="6" fillId="16" borderId="0" xfId="0" applyNumberFormat="1" applyFont="1" applyFill="1" applyBorder="1" applyAlignment="1">
      <x:alignment vertical="center"/>
    </x:xf>
    <x:xf numFmtId="0" fontId="25" fillId="16" borderId="0" xfId="0" applyNumberFormat="1" applyFont="1" applyFill="1" applyBorder="1" applyAlignment="1">
      <x:alignment vertical="center"/>
    </x:xf>
    <x:xf numFmtId="0" fontId="25" fillId="16" borderId="20" xfId="0" applyNumberFormat="1" applyFont="1" applyFill="1" applyBorder="1" applyAlignment="1">
      <x:alignment vertical="center"/>
    </x:xf>
    <x:xf numFmtId="0" fontId="25" fillId="16" borderId="21" xfId="0" applyNumberFormat="1" applyFont="1" applyFill="1" applyBorder="1" applyAlignment="1">
      <x:alignment vertical="center"/>
    </x:xf>
    <x:xf numFmtId="0" fontId="25" fillId="16" borderId="24" xfId="0" applyNumberFormat="1" applyFont="1" applyFill="1" applyBorder="1" applyAlignment="1">
      <x:alignment vertical="center"/>
    </x:xf>
    <x:xf numFmtId="0" fontId="25" fillId="16" borderId="25" xfId="0" applyNumberFormat="1" applyFont="1" applyFill="1" applyBorder="1" applyAlignment="1">
      <x:alignment vertical="center"/>
    </x:xf>
    <x:xf numFmtId="0" fontId="25" fillId="16" borderId="26" xfId="0" applyNumberFormat="1" applyFont="1" applyFill="1" applyBorder="1" applyAlignment="1">
      <x:alignment vertical="center"/>
    </x:xf>
    <x:xf numFmtId="0" fontId="25" fillId="16" borderId="27" xfId="0" applyNumberFormat="1" applyFont="1" applyFill="1" applyBorder="1" applyAlignment="1">
      <x:alignment vertical="center"/>
    </x:xf>
    <x:xf numFmtId="0" fontId="25" fillId="16" borderId="28" xfId="0" applyNumberFormat="1" applyFont="1" applyFill="1" applyBorder="1" applyAlignment="1">
      <x:alignment vertical="center"/>
    </x:xf>
    <x:xf numFmtId="0" fontId="25" fillId="16" borderId="31" xfId="0" applyNumberFormat="1" applyFont="1" applyFill="1" applyBorder="1" applyAlignment="1">
      <x:alignment vertical="center"/>
    </x:xf>
    <x:xf numFmtId="0" fontId="25" fillId="16" borderId="20" xfId="0" applyNumberFormat="1" applyFont="1" applyFill="1" applyBorder="1" applyAlignment="1">
      <x:alignment vertical="center" wrapText="1"/>
    </x:xf>
    <x:xf numFmtId="0" fontId="25" fillId="16" borderId="21" xfId="0" applyNumberFormat="1" applyFont="1" applyFill="1" applyBorder="1" applyAlignment="1">
      <x:alignment vertical="center" wrapText="1"/>
    </x:xf>
    <x:xf numFmtId="0" fontId="25" fillId="16" borderId="24" xfId="0" applyNumberFormat="1" applyFont="1" applyFill="1" applyBorder="1" applyAlignment="1">
      <x:alignment vertical="center" wrapText="1"/>
    </x:xf>
    <x:xf numFmtId="0" fontId="25" fillId="16" borderId="25" xfId="0" applyNumberFormat="1" applyFont="1" applyFill="1" applyBorder="1" applyAlignment="1">
      <x:alignment vertical="center" wrapText="1"/>
    </x:xf>
    <x:xf numFmtId="0" fontId="25" fillId="16" borderId="0" xfId="0" applyNumberFormat="1" applyFont="1" applyFill="1" applyBorder="1" applyAlignment="1">
      <x:alignment vertical="center" wrapText="1"/>
    </x:xf>
    <x:xf numFmtId="0" fontId="25" fillId="16" borderId="26" xfId="0" applyNumberFormat="1" applyFont="1" applyFill="1" applyBorder="1" applyAlignment="1">
      <x:alignment vertical="center" wrapText="1"/>
    </x:xf>
    <x:xf numFmtId="0" fontId="25" fillId="16" borderId="27" xfId="0" applyNumberFormat="1" applyFont="1" applyFill="1" applyBorder="1" applyAlignment="1">
      <x:alignment vertical="center" wrapText="1"/>
    </x:xf>
    <x:xf numFmtId="0" fontId="25" fillId="16" borderId="28" xfId="0" applyNumberFormat="1" applyFont="1" applyFill="1" applyBorder="1" applyAlignment="1">
      <x:alignment vertical="center" wrapText="1"/>
    </x:xf>
    <x:xf numFmtId="0" fontId="25" fillId="16" borderId="31" xfId="0" applyNumberFormat="1" applyFont="1" applyFill="1" applyBorder="1" applyAlignment="1">
      <x:alignment vertical="center" wrapText="1"/>
    </x:xf>
    <x:xf numFmtId="0" fontId="6" fillId="13" borderId="0" xfId="0" applyNumberFormat="1" applyFont="1" applyFill="1" applyBorder="1" applyAlignment="1">
      <x:alignment vertical="center"/>
    </x:xf>
    <x:xf numFmtId="0" fontId="3" fillId="13" borderId="0" xfId="0" applyNumberFormat="1" applyFont="1" applyFill="1" applyBorder="1" applyAlignment="1">
      <x:alignment vertical="center"/>
    </x:xf>
    <x:xf numFmtId="0" fontId="6" fillId="15" borderId="0" xfId="0" applyNumberFormat="1" applyFont="1" applyFill="1" applyBorder="1" applyAlignment="1">
      <x:alignment vertical="center"/>
    </x:xf>
    <x:xf numFmtId="0" fontId="3" fillId="15" borderId="0" xfId="0" applyNumberFormat="1" applyFont="1" applyFill="1" applyBorder="1" applyAlignment="1">
      <x:alignment horizontal="left" vertical="center"/>
    </x:xf>
    <x:xf numFmtId="0" fontId="5" fillId="15" borderId="1" xfId="0" applyNumberFormat="1" applyFont="1" applyFill="1" applyBorder="1" applyAlignment="1">
      <x:alignment horizontal="center" vertical="center" wrapText="1"/>
    </x:xf>
    <x:xf numFmtId="0" fontId="27" fillId="15" borderId="0" xfId="0" applyNumberFormat="1" applyFont="1" applyFill="1" applyBorder="1" applyAlignment="1">
      <x:alignment vertical="center"/>
    </x:xf>
    <x:xf numFmtId="0" fontId="28" fillId="15" borderId="0" xfId="0" applyNumberFormat="1" applyFont="1" applyFill="1" applyBorder="1" applyAlignment="1">
      <x:alignment horizontal="left" vertical="center"/>
    </x:xf>
    <x:xf numFmtId="0" fontId="28" fillId="15" borderId="1" xfId="0" applyNumberFormat="1" applyFont="1" applyFill="1" applyBorder="1" applyAlignment="1">
      <x:alignment horizontal="center" vertical="center" wrapText="1"/>
    </x:xf>
    <x:xf numFmtId="0" fontId="27" fillId="15" borderId="32" xfId="0" applyNumberFormat="1" applyFont="1" applyFill="1" applyBorder="1" applyAlignment="1">
      <x:alignment vertical="center"/>
    </x:xf>
    <x:xf numFmtId="0" fontId="27" fillId="15" borderId="33" xfId="0" applyNumberFormat="1" applyFont="1" applyFill="1" applyBorder="1" applyAlignment="1">
      <x:alignment vertical="center"/>
    </x:xf>
    <x:xf numFmtId="0" fontId="27" fillId="15" borderId="34" xfId="0" applyNumberFormat="1" applyFont="1" applyFill="1" applyBorder="1" applyAlignment="1">
      <x:alignment vertical="center"/>
    </x:xf>
    <x:xf numFmtId="0" fontId="27" fillId="15" borderId="35" xfId="0" applyNumberFormat="1" applyFont="1" applyFill="1" applyBorder="1" applyAlignment="1">
      <x:alignment vertical="center"/>
    </x:xf>
    <x:xf numFmtId="0" fontId="27" fillId="15" borderId="36" xfId="0" applyNumberFormat="1" applyFont="1" applyFill="1" applyBorder="1" applyAlignment="1">
      <x:alignment vertical="center"/>
    </x:xf>
    <x:xf numFmtId="0" fontId="28" fillId="15" borderId="35" xfId="0" applyNumberFormat="1" applyFont="1" applyFill="1" applyBorder="1" applyAlignment="1">
      <x:alignment horizontal="left" vertical="center"/>
    </x:xf>
    <x:xf numFmtId="0" fontId="28" fillId="15" borderId="36" xfId="0" applyNumberFormat="1" applyFont="1" applyFill="1" applyBorder="1" applyAlignment="1">
      <x:alignment horizontal="left" vertical="center"/>
    </x:xf>
    <x:xf numFmtId="0" fontId="28" fillId="15" borderId="37" xfId="0" applyNumberFormat="1" applyFont="1" applyFill="1" applyBorder="1" applyAlignment="1">
      <x:alignment horizontal="center" vertical="center" wrapText="1"/>
    </x:xf>
    <x:xf numFmtId="0" fontId="28" fillId="15" borderId="38" xfId="0" applyNumberFormat="1" applyFont="1" applyFill="1" applyBorder="1" applyAlignment="1">
      <x:alignment horizontal="center" vertical="center" wrapText="1"/>
    </x:xf>
    <x:xf numFmtId="0" fontId="27" fillId="15" borderId="39" xfId="0" applyNumberFormat="1" applyFont="1" applyFill="1" applyBorder="1" applyAlignment="1">
      <x:alignment vertical="center"/>
    </x:xf>
    <x:xf numFmtId="0" fontId="27" fillId="15" borderId="40" xfId="0" applyNumberFormat="1" applyFont="1" applyFill="1" applyBorder="1" applyAlignment="1">
      <x:alignment vertical="center"/>
    </x:xf>
    <x:xf numFmtId="0" fontId="27" fillId="15" borderId="32" xfId="0" applyNumberFormat="1" applyFont="1" applyFill="1" applyBorder="1" applyAlignment="1">
      <x:alignment vertical="center" wrapText="1"/>
    </x:xf>
    <x:xf numFmtId="0" fontId="27" fillId="15" borderId="33" xfId="0" applyNumberFormat="1" applyFont="1" applyFill="1" applyBorder="1" applyAlignment="1">
      <x:alignment vertical="center" wrapText="1"/>
    </x:xf>
    <x:xf numFmtId="0" fontId="27" fillId="15" borderId="34" xfId="0" applyNumberFormat="1" applyFont="1" applyFill="1" applyBorder="1" applyAlignment="1">
      <x:alignment vertical="center" wrapText="1"/>
    </x:xf>
    <x:xf numFmtId="0" fontId="27" fillId="15" borderId="35" xfId="0" applyNumberFormat="1" applyFont="1" applyFill="1" applyBorder="1" applyAlignment="1">
      <x:alignment vertical="center" wrapText="1"/>
    </x:xf>
    <x:xf numFmtId="0" fontId="27" fillId="15" borderId="0" xfId="0" applyNumberFormat="1" applyFont="1" applyFill="1" applyBorder="1" applyAlignment="1">
      <x:alignment vertical="center" wrapText="1"/>
    </x:xf>
    <x:xf numFmtId="0" fontId="27" fillId="15" borderId="36" xfId="0" applyNumberFormat="1" applyFont="1" applyFill="1" applyBorder="1" applyAlignment="1">
      <x:alignment vertical="center" wrapText="1"/>
    </x:xf>
    <x:xf numFmtId="0" fontId="28" fillId="15" borderId="35" xfId="0" applyNumberFormat="1" applyFont="1" applyFill="1" applyBorder="1" applyAlignment="1">
      <x:alignment horizontal="left" vertical="center" wrapText="1"/>
    </x:xf>
    <x:xf numFmtId="0" fontId="28" fillId="15" borderId="0" xfId="0" applyNumberFormat="1" applyFont="1" applyFill="1" applyBorder="1" applyAlignment="1">
      <x:alignment horizontal="left" vertical="center" wrapText="1"/>
    </x:xf>
    <x:xf numFmtId="0" fontId="28" fillId="15" borderId="36" xfId="0" applyNumberFormat="1" applyFont="1" applyFill="1" applyBorder="1" applyAlignment="1">
      <x:alignment horizontal="left" vertical="center" wrapText="1"/>
    </x:xf>
    <x:xf numFmtId="0" fontId="27" fillId="15" borderId="39" xfId="0" applyNumberFormat="1" applyFont="1" applyFill="1" applyBorder="1" applyAlignment="1">
      <x:alignment vertical="center" wrapText="1"/>
    </x:xf>
    <x:xf numFmtId="0" fontId="27" fillId="15" borderId="4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/>
    </x:xf>
    <x:xf numFmtId="0" fontId="7" fillId="9" borderId="3" xfId="0" applyNumberFormat="1" applyFont="1" applyFill="1" applyBorder="1" applyAlignment="1">
      <x:alignment horizontal="left" vertical="center"/>
    </x:xf>
    <x:xf numFmtId="0" fontId="7" fillId="9" borderId="4" xfId="0" applyNumberFormat="1" applyFont="1" applyFill="1" applyBorder="1" applyAlignment="1">
      <x:alignment horizontal="left" vertical="center"/>
    </x:xf>
    <x:xf numFmtId="0" fontId="7" fillId="9" borderId="5" xfId="0" applyNumberFormat="1" applyFont="1" applyFill="1" applyBorder="1" applyAlignment="1">
      <x:alignment horizontal="left" vertical="center"/>
    </x:xf>
    <x:xf numFmtId="0" fontId="19" fillId="8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horizontal="left" vertical="center"/>
    </x:xf>
    <x:xf numFmtId="0" fontId="10" fillId="10" borderId="6" xfId="0" applyNumberFormat="1" applyFont="1" applyFill="1" applyBorder="1" applyAlignment="1">
      <x:alignment horizontal="left" vertical="center"/>
    </x:xf>
    <x:xf numFmtId="0" fontId="10" fillId="10" borderId="7" xfId="0" applyNumberFormat="1" applyFont="1" applyFill="1" applyBorder="1" applyAlignment="1">
      <x:alignment horizontal="left" vertical="center"/>
    </x:xf>
    <x:xf numFmtId="0" fontId="10" fillId="10" borderId="8" xfId="0" applyNumberFormat="1" applyFont="1" applyFill="1" applyBorder="1" applyAlignment="1">
      <x:alignment horizontal="left" vertical="center"/>
    </x:xf>
    <x:xf numFmtId="165" fontId="11" fillId="10" borderId="0" xfId="0" applyNumberFormat="1" applyFont="1" applyFill="1" applyBorder="1" applyAlignment="1">
      <x:alignment horizontal="left" vertical="center"/>
    </x:xf>
    <x:xf numFmtId="166" fontId="11" fillId="10" borderId="0" xfId="0" applyNumberFormat="1" applyFont="1" applyFill="1" applyBorder="1" applyAlignment="1">
      <x:alignment horizontal="left" vertical="center"/>
    </x:xf>
    <x:xf numFmtId="0" fontId="13" fillId="10" borderId="12" xfId="0" applyNumberFormat="1" applyFont="1" applyFill="1" applyBorder="1" applyAlignment="1">
      <x:alignment horizontal="left" vertical="center"/>
    </x:xf>
    <x:xf numFmtId="0" fontId="13" fillId="10" borderId="13" xfId="0" applyNumberFormat="1" applyFont="1" applyFill="1" applyBorder="1" applyAlignment="1">
      <x:alignment horizontal="left" vertical="center"/>
    </x:xf>
    <x:xf numFmtId="0" fontId="6" fillId="8" borderId="0" xfId="0" applyNumberFormat="1" applyFont="1" applyFill="1" applyBorder="1" applyAlignment="1">
      <x:alignment vertical="center"/>
    </x:xf>
    <x:xf numFmtId="0" fontId="3" fillId="9" borderId="0" xfId="0" applyNumberFormat="1" applyFont="1" applyFill="1" applyBorder="1" applyAlignment="1">
      <x:alignment horizontal="left" vertical="center"/>
    </x:xf>
    <x:xf numFmtId="0" fontId="5" fillId="10" borderId="1" xfId="0" applyNumberFormat="1" applyFont="1" applyFill="1" applyBorder="1" applyAlignment="1">
      <x:alignment horizontal="left" vertical="center"/>
    </x:xf>
    <x:xf numFmtId="0" fontId="6" fillId="10" borderId="1" xfId="0" applyNumberFormat="1" applyFont="1" applyFill="1" applyBorder="1" applyAlignment="1">
      <x:alignment horizontal="center" vertical="center"/>
    </x:xf>
    <x:xf numFmtId="0" fontId="14" fillId="10" borderId="6" xfId="0" applyNumberFormat="1" applyFont="1" applyFill="1" applyBorder="1" applyAlignment="1">
      <x:alignment horizontal="left" vertical="center" wrapText="1"/>
    </x:xf>
    <x:xf numFmtId="0" fontId="14" fillId="10" borderId="7" xfId="0" applyNumberFormat="1" applyFont="1" applyFill="1" applyBorder="1" applyAlignment="1">
      <x:alignment horizontal="left" vertical="center" wrapText="1"/>
    </x:xf>
    <x:xf numFmtId="0" fontId="14" fillId="10" borderId="8" xfId="0" applyNumberFormat="1" applyFont="1" applyFill="1" applyBorder="1" applyAlignment="1">
      <x:alignment horizontal="left" vertical="center" wrapText="1"/>
    </x:xf>
    <x:xf numFmtId="0" fontId="14" fillId="10" borderId="9" xfId="0" applyNumberFormat="1" applyFont="1" applyFill="1" applyBorder="1" applyAlignment="1">
      <x:alignment horizontal="left" vertical="center" wrapText="1"/>
    </x:xf>
    <x:xf numFmtId="0" fontId="14" fillId="10" borderId="0" xfId="0" applyNumberFormat="1" applyFont="1" applyFill="1" applyBorder="1" applyAlignment="1">
      <x:alignment horizontal="left" vertical="center" wrapText="1"/>
    </x:xf>
    <x:xf numFmtId="0" fontId="14" fillId="10" borderId="10" xfId="0" applyNumberFormat="1" applyFont="1" applyFill="1" applyBorder="1" applyAlignment="1">
      <x:alignment horizontal="left" vertical="center" wrapText="1"/>
    </x:xf>
    <x:xf numFmtId="0" fontId="14" fillId="10" borderId="11" xfId="0" applyNumberFormat="1" applyFont="1" applyFill="1" applyBorder="1" applyAlignment="1">
      <x:alignment horizontal="left" vertical="center" wrapText="1"/>
    </x:xf>
    <x:xf numFmtId="0" fontId="14" fillId="10" borderId="12" xfId="0" applyNumberFormat="1" applyFont="1" applyFill="1" applyBorder="1" applyAlignment="1">
      <x:alignment horizontal="left" vertical="center" wrapText="1"/>
    </x:xf>
    <x:xf numFmtId="0" fontId="14" fillId="10" borderId="13" xfId="0" applyNumberFormat="1" applyFont="1" applyFill="1" applyBorder="1" applyAlignment="1">
      <x:alignment horizontal="left" vertical="center" wrapText="1"/>
    </x:xf>
    <x:xf numFmtId="0" fontId="15" fillId="9" borderId="6" xfId="0" applyNumberFormat="1" applyFont="1" applyFill="1" applyBorder="1" applyAlignment="1">
      <x:alignment horizontal="left" vertical="center" wrapText="1"/>
    </x:xf>
    <x:xf numFmtId="0" fontId="15" fillId="9" borderId="7" xfId="0" applyNumberFormat="1" applyFont="1" applyFill="1" applyBorder="1" applyAlignment="1">
      <x:alignment horizontal="left" vertical="center" wrapText="1"/>
    </x:xf>
    <x:xf numFmtId="0" fontId="15" fillId="9" borderId="8" xfId="0" applyNumberFormat="1" applyFont="1" applyFill="1" applyBorder="1" applyAlignment="1">
      <x:alignment horizontal="left" vertical="center" wrapText="1"/>
    </x:xf>
    <x:xf numFmtId="0" fontId="15" fillId="9" borderId="9" xfId="0" applyNumberFormat="1" applyFont="1" applyFill="1" applyBorder="1" applyAlignment="1">
      <x:alignment horizontal="left" vertical="center" wrapText="1"/>
    </x:xf>
    <x:xf numFmtId="0" fontId="15" fillId="9" borderId="0" xfId="0" applyNumberFormat="1" applyFont="1" applyFill="1" applyBorder="1" applyAlignment="1">
      <x:alignment horizontal="left" vertical="center" wrapText="1"/>
    </x:xf>
    <x:xf numFmtId="0" fontId="15" fillId="9" borderId="10" xfId="0" applyNumberFormat="1" applyFont="1" applyFill="1" applyBorder="1" applyAlignment="1">
      <x:alignment horizontal="left" vertical="center" wrapText="1"/>
    </x:xf>
    <x:xf numFmtId="0" fontId="15" fillId="9" borderId="11" xfId="0" applyNumberFormat="1" applyFont="1" applyFill="1" applyBorder="1" applyAlignment="1">
      <x:alignment horizontal="left" vertical="center" wrapText="1"/>
    </x:xf>
    <x:xf numFmtId="0" fontId="15" fillId="9" borderId="12" xfId="0" applyNumberFormat="1" applyFont="1" applyFill="1" applyBorder="1" applyAlignment="1">
      <x:alignment horizontal="left" vertical="center" wrapText="1"/>
    </x:xf>
    <x:xf numFmtId="0" fontId="15" fillId="9" borderId="13" xfId="0" applyNumberFormat="1" applyFont="1" applyFill="1" applyBorder="1" applyAlignment="1">
      <x:alignment horizontal="left" vertical="center" wrapText="1"/>
    </x:xf>
    <x:xf numFmtId="0" fontId="20" fillId="8" borderId="0" xfId="0" applyNumberFormat="1" applyFont="1" applyFill="1" applyBorder="1" applyAlignment="1">
      <x:alignment vertical="center"/>
    </x:xf>
    <x:xf numFmtId="0" fontId="29" fillId="8" borderId="0" xfId="0" applyNumberFormat="1" applyFont="1" applyFill="1" applyBorder="1" applyAlignment="1">
      <x:alignment vertical="center"/>
    </x:xf>
    <x:xf numFmtId="0" fontId="29" fillId="8" borderId="0" xfId="0" applyNumberFormat="1" applyFont="1" applyFill="1" applyBorder="1" applyAlignment="1">
      <x:alignment horizontal="left" vertical="center"/>
    </x:xf>
    <x:xf numFmtId="0" fontId="5" fillId="13" borderId="0" xfId="0" applyNumberFormat="1" applyFont="1" applyFill="1" applyBorder="1" applyAlignment="1">
      <x:alignment vertical="center"/>
    </x:xf>
    <x:xf numFmtId="0" fontId="5" fillId="13" borderId="17" xfId="0" applyNumberFormat="1" applyFont="1" applyFill="1" applyBorder="1" applyAlignment="1">
      <x:alignment vertical="center"/>
    </x:xf>
    <x:xf numFmtId="0" fontId="5" fillId="13" borderId="18" xfId="0" applyNumberFormat="1" applyFont="1" applyFill="1" applyBorder="1" applyAlignment="1">
      <x:alignment vertical="center"/>
    </x:xf>
    <x:xf numFmtId="0" fontId="5" fillId="13" borderId="19" xfId="0" applyNumberFormat="1" applyFont="1" applyFill="1" applyBorder="1" applyAlignment="1">
      <x:alignment vertical="center"/>
    </x:xf>
    <x:xf numFmtId="0" fontId="5" fillId="13" borderId="17" xfId="0" applyNumberFormat="1" applyFont="1" applyFill="1" applyBorder="1" applyAlignment="1">
      <x:alignment horizontal="center" vertical="center"/>
    </x:xf>
    <x:xf numFmtId="0" fontId="5" fillId="13" borderId="18" xfId="0" applyNumberFormat="1" applyFont="1" applyFill="1" applyBorder="1" applyAlignment="1">
      <x:alignment horizontal="center" vertical="center"/>
    </x:xf>
    <x:xf numFmtId="0" fontId="5" fillId="13" borderId="19" xfId="0" applyNumberFormat="1" applyFont="1" applyFill="1" applyBorder="1" applyAlignment="1">
      <x:alignment horizontal="center" vertical="center"/>
    </x:xf>
    <x:xf numFmtId="0" fontId="6" fillId="17" borderId="0" xfId="0" applyNumberFormat="1" applyFont="1" applyFill="1" applyBorder="1" applyAlignment="1">
      <x:alignment vertical="center"/>
    </x:xf>
    <x:xf numFmtId="201" fontId="6" fillId="17" borderId="0" xfId="0" applyNumberFormat="1" applyFont="1" applyFill="1" applyBorder="1" applyAlignment="1">
      <x:alignment vertical="center"/>
    </x:xf>
    <x:xf numFmtId="202" fontId="6" fillId="17" borderId="0" xfId="0" applyNumberFormat="1" applyFont="1" applyFill="1" applyBorder="1" applyAlignment="1">
      <x:alignment vertical="center"/>
    </x:xf>
    <x:xf numFmtId="203" fontId="6" fillId="17" borderId="0" xfId="0" applyNumberFormat="1" applyFont="1" applyFill="1" applyBorder="1" applyAlignment="1">
      <x:alignment vertical="center"/>
    </x:xf>
    <x:xf numFmtId="0" fontId="25" fillId="17" borderId="0" xfId="0" applyNumberFormat="1" applyFont="1" applyFill="1" applyBorder="1" applyAlignment="1">
      <x:alignment vertical="center"/>
    </x:xf>
    <x:xf numFmtId="201" fontId="25" fillId="17" borderId="0" xfId="0" applyNumberFormat="1" applyFont="1" applyFill="1" applyBorder="1" applyAlignment="1">
      <x:alignment vertical="center"/>
    </x:xf>
    <x:xf numFmtId="202" fontId="25" fillId="17" borderId="0" xfId="0" applyNumberFormat="1" applyFont="1" applyFill="1" applyBorder="1" applyAlignment="1">
      <x:alignment vertical="center"/>
    </x:xf>
    <x:xf numFmtId="203" fontId="25" fillId="17" borderId="0" xfId="0" applyNumberFormat="1" applyFont="1" applyFill="1" applyBorder="1" applyAlignment="1">
      <x:alignment vertical="center"/>
    </x:xf>
    <x:xf numFmtId="0" fontId="25" fillId="17" borderId="41" xfId="0" applyNumberFormat="1" applyFont="1" applyFill="1" applyBorder="1" applyAlignment="1">
      <x:alignment vertical="center"/>
    </x:xf>
    <x:xf numFmtId="0" fontId="25" fillId="17" borderId="42" xfId="0" applyNumberFormat="1" applyFont="1" applyFill="1" applyBorder="1" applyAlignment="1">
      <x:alignment vertical="center"/>
    </x:xf>
    <x:xf numFmtId="201" fontId="25" fillId="17" borderId="42" xfId="0" applyNumberFormat="1" applyFont="1" applyFill="1" applyBorder="1" applyAlignment="1">
      <x:alignment vertical="center"/>
    </x:xf>
    <x:xf numFmtId="202" fontId="25" fillId="17" borderId="42" xfId="0" applyNumberFormat="1" applyFont="1" applyFill="1" applyBorder="1" applyAlignment="1">
      <x:alignment vertical="center"/>
    </x:xf>
    <x:xf numFmtId="203" fontId="25" fillId="17" borderId="42" xfId="0" applyNumberFormat="1" applyFont="1" applyFill="1" applyBorder="1" applyAlignment="1">
      <x:alignment vertical="center"/>
    </x:xf>
    <x:xf numFmtId="0" fontId="25" fillId="17" borderId="43" xfId="0" applyNumberFormat="1" applyFont="1" applyFill="1" applyBorder="1" applyAlignment="1">
      <x:alignment vertical="center"/>
    </x:xf>
    <x:xf numFmtId="0" fontId="25" fillId="17" borderId="44" xfId="0" applyNumberFormat="1" applyFont="1" applyFill="1" applyBorder="1" applyAlignment="1">
      <x:alignment vertical="center"/>
    </x:xf>
    <x:xf numFmtId="0" fontId="25" fillId="17" borderId="45" xfId="0" applyNumberFormat="1" applyFont="1" applyFill="1" applyBorder="1" applyAlignment="1">
      <x:alignment vertical="center"/>
    </x:xf>
    <x:xf numFmtId="201" fontId="25" fillId="17" borderId="45" xfId="0" applyNumberFormat="1" applyFont="1" applyFill="1" applyBorder="1" applyAlignment="1">
      <x:alignment vertical="center"/>
    </x:xf>
    <x:xf numFmtId="202" fontId="25" fillId="17" borderId="45" xfId="0" applyNumberFormat="1" applyFont="1" applyFill="1" applyBorder="1" applyAlignment="1">
      <x:alignment vertical="center"/>
    </x:xf>
    <x:xf numFmtId="203" fontId="25" fillId="17" borderId="45" xfId="0" applyNumberFormat="1" applyFont="1" applyFill="1" applyBorder="1" applyAlignment="1">
      <x:alignment vertical="center"/>
    </x:xf>
    <x:xf numFmtId="0" fontId="25" fillId="17" borderId="46" xfId="0" applyNumberFormat="1" applyFont="1" applyFill="1" applyBorder="1" applyAlignment="1">
      <x:alignment vertical="center"/>
    </x:xf>
    <x:xf numFmtId="0" fontId="25" fillId="17" borderId="47" xfId="0" applyNumberFormat="1" applyFont="1" applyFill="1" applyBorder="1" applyAlignment="1">
      <x:alignment vertical="center"/>
    </x:xf>
    <x:xf numFmtId="0" fontId="25" fillId="17" borderId="48" xfId="0" applyNumberFormat="1" applyFont="1" applyFill="1" applyBorder="1" applyAlignment="1">
      <x:alignment vertical="center"/>
    </x:xf>
    <x:xf numFmtId="201" fontId="25" fillId="17" borderId="48" xfId="0" applyNumberFormat="1" applyFont="1" applyFill="1" applyBorder="1" applyAlignment="1">
      <x:alignment vertical="center"/>
    </x:xf>
    <x:xf numFmtId="202" fontId="25" fillId="17" borderId="48" xfId="0" applyNumberFormat="1" applyFont="1" applyFill="1" applyBorder="1" applyAlignment="1">
      <x:alignment vertical="center"/>
    </x:xf>
    <x:xf numFmtId="203" fontId="25" fillId="17" borderId="48" xfId="0" applyNumberFormat="1" applyFont="1" applyFill="1" applyBorder="1" applyAlignment="1">
      <x:alignment vertical="center"/>
    </x:xf>
    <x:xf numFmtId="0" fontId="25" fillId="17" borderId="49" xfId="0" applyNumberFormat="1" applyFont="1" applyFill="1" applyBorder="1" applyAlignment="1">
      <x:alignment vertical="center"/>
    </x:xf>
    <x:xf numFmtId="0" fontId="26" fillId="17" borderId="41" xfId="0" applyNumberFormat="1" applyFont="1" applyFill="1" applyBorder="1" applyAlignment="1">
      <x:alignment vertical="center"/>
    </x:xf>
    <x:xf numFmtId="0" fontId="26" fillId="17" borderId="44" xfId="0" applyNumberFormat="1" applyFont="1" applyFill="1" applyBorder="1" applyAlignment="1">
      <x:alignment vertical="center"/>
    </x:xf>
    <x:xf numFmtId="0" fontId="26" fillId="17" borderId="47" xfId="0" applyNumberFormat="1" applyFont="1" applyFill="1" applyBorder="1" applyAlignment="1">
      <x:alignment vertical="center"/>
    </x:xf>
    <x:xf numFmtId="0" fontId="25" fillId="17" borderId="43" xfId="0" applyNumberFormat="1" applyFont="1" applyFill="1" applyBorder="1" applyAlignment="1">
      <x:alignment vertical="center" wrapText="1"/>
    </x:xf>
    <x:xf numFmtId="0" fontId="25" fillId="17" borderId="46" xfId="0" applyNumberFormat="1" applyFont="1" applyFill="1" applyBorder="1" applyAlignment="1">
      <x:alignment vertical="center" wrapText="1"/>
    </x:xf>
    <x:xf numFmtId="0" fontId="25" fillId="17" borderId="4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b886ae658d44eb" /><Relationship Type="http://schemas.openxmlformats.org/officeDocument/2006/relationships/theme" Target="/xl/theme/theme1.xml" Id="R992901e90f534cf0" /><Relationship Type="http://schemas.openxmlformats.org/officeDocument/2006/relationships/sharedStrings" Target="/xl/sharedStrings.xml" Id="R4d0d87167ac140b7" /><Relationship Type="http://schemas.openxmlformats.org/officeDocument/2006/relationships/worksheet" Target="/xl/worksheets/sheet1.xml" Id="R40e5526974e8464f" /><Relationship Type="http://schemas.openxmlformats.org/officeDocument/2006/relationships/worksheet" Target="/xl/worksheets/sheet2.xml" Id="R1f85d124dd92483c" /><Relationship Type="http://schemas.openxmlformats.org/officeDocument/2006/relationships/worksheet" Target="/xl/worksheets/sheet3.xml" Id="R727bd50b4d0d4e8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a8eb9c81856435c" /><Relationship Type="http://schemas.openxmlformats.org/officeDocument/2006/relationships/chart" Target="/xl/drawings/charts/chart2.xml" Id="Rf877ac6e2700491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On-time delivery by month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On-time delivery</c:v>
          </c:tx>
          <c:marker>
            <c:symbol val="none"/>
          </c:marker>
          <c:cat>
            <c:strRef>
              <c:f>'_Chart Helpers'!$H$2:$H$21</c:f>
              <c:strCache>
                <c:ptCount val="0"/>
              </c:strCache>
            </c:strRef>
          </c:cat>
          <c:val>
            <c:numRef>
              <c:f>'_Chart Helpers'!$I$2:$I$21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Overall</c:v>
          </c:tx>
          <c:marker>
            <c:symbol val="none"/>
          </c:marker>
          <c:cat>
            <c:strRef>
              <c:f>'_Chart Helpers'!$H$2:$H$21</c:f>
              <c:strCache>
                <c:ptCount val="0"/>
              </c:strCache>
            </c:strRef>
          </c:cat>
          <c:val>
            <c:numRef>
              <c:f>'_Chart Helpers'!$J$2:$J$21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Average stage days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Approval to carrier</c:v>
          </c:tx>
          <c:cat>
            <c:strRef>
              <c:f>'_Chart Helpers'!$P$2:$P$3</c:f>
              <c:strCache>
                <c:ptCount val="0"/>
              </c:strCache>
            </c:strRef>
          </c:cat>
          <c:val>
            <c:numRef>
              <c:f>'_Chart Helpers'!$S$2:$S$3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Carrier to delivery</c:v>
          </c:tx>
          <c:cat>
            <c:strRef>
              <c:f>'_Chart Helpers'!$P$2:$P$3</c:f>
              <c:strCache>
                <c:ptCount val="0"/>
              </c:strCache>
            </c:strRef>
          </c:cat>
          <c:val>
            <c:numRef>
              <c:f>'_Chart Helpers'!$T$2:$T$3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15</xdr:row>
      <xdr:rowOff>0</xdr:rowOff>
    </xdr:from>
    <xdr:to>
      <xdr:col>9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8eb9c81856435c"/>
        </a:graphicData>
      </a:graphic>
    </xdr:graphicFrame>
    <xdr:clientData/>
  </xdr:twoCellAnchor>
  <xdr:twoCellAnchor>
    <xdr:from>
      <xdr:col>9</xdr:col>
      <xdr:colOff>0</xdr:colOff>
      <xdr:row>15</xdr:row>
      <xdr:rowOff>0</xdr:rowOff>
    </xdr:from>
    <xdr:to>
      <xdr:col>17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77ac6e2700491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nthlyKpis" displayName="MonthlyKpis" ref="B15:J36" headerRowCount="1" totalsRowCount="0" totalsRowShown="0">
  <x:tableColumns count="9">
    <x:tableColumn id="1" name="Period"/>
    <x:tableColumn id="2" name="Delivered orders"/>
    <x:tableColumn id="3" name="On-time delivery"/>
    <x:tableColumn id="4" name="Late dispatch"/>
    <x:tableColumn id="5" name="Approval to carrier days"/>
    <x:tableColumn id="6" name="Carrier to delivery days"/>
    <x:tableColumn id="7" name="Purchase to delivery days"/>
    <x:tableColumn id="8" name="Average review score"/>
    <x:tableColumn id="9" name="Between-state sha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verallKpis" displayName="OverallKpis" ref="L15:N23" headerRowCount="1" totalsRowCount="0" totalsRowShown="0">
  <x:tableColumns count="3">
    <x:tableColumn id="1" name="Metric"/>
    <x:tableColumn id="2" name="Value"/>
    <x:tableColumn id="3" name="Direc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rchantExceptions" displayName="MerchantExceptions" ref="B42:L121" headerRowCount="1" totalsRowCount="0" totalsRowShown="0">
  <x:tableColumns count="11">
    <x:tableColumn id="1" name="Seller ID"/>
    <x:tableColumn id="2" name="State"/>
    <x:tableColumn id="3" name="City"/>
    <x:tableColumn id="4" name="Delivered orders"/>
    <x:tableColumn id="5" name="Late delivery"/>
    <x:tableColumn id="6" name="95% CI lower"/>
    <x:tableColumn id="7" name="95% CI upper"/>
    <x:tableColumn id="8" name="Late dispatch"/>
    <x:tableColumn id="9" name="Approval to carrier days"/>
    <x:tableColumn id="10" name="Carrier to delivery days"/>
    <x:tableColumn id="11" name="Review scor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aneExceptions" displayName="LaneExceptions" ref="B126:H151" headerRowCount="1" totalsRowCount="0" totalsRowShown="0">
  <x:tableColumns count="7">
    <x:tableColumn id="1" name="Lane proxy"/>
    <x:tableColumn id="2" name="Seller state"/>
    <x:tableColumn id="3" name="Customer state"/>
    <x:tableColumn id="4" name="Delivered orders"/>
    <x:tableColumn id="5" name="Late delivery"/>
    <x:tableColumn id="6" name="Carrier to delivery days"/>
    <x:tableColumn id="7" name="Review scor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QualityChecks" displayName="DataQualityChecks" ref="B155:D164" headerRowCount="1" totalsRowCount="0" totalsRowShown="0">
  <x:tableColumns count="3">
    <x:tableColumn id="1" name="Check"/>
    <x:tableColumn id="2" name="Value"/>
    <x:tableColumn id="3" name="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b6f7499c9184d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1c5186c88b480c" /><Relationship Type="http://schemas.openxmlformats.org/officeDocument/2006/relationships/table" Target="/xl/tables/table2.xml" Id="Rdea0cf05b4744e8d" /><Relationship Type="http://schemas.openxmlformats.org/officeDocument/2006/relationships/table" Target="/xl/tables/table3.xml" Id="Re0c482eef95f4cab" /><Relationship Type="http://schemas.openxmlformats.org/officeDocument/2006/relationships/table" Target="/xl/tables/table4.xml" Id="R0e4da9a16d7c44b1" /><Relationship Type="http://schemas.openxmlformats.org/officeDocument/2006/relationships/table" Target="/xl/tables/table5.xml" Id="Rdf2585ba44214d3f" /></Relationships>
</file>

<file path=xl/worksheets/sheet1.xml><?xml version="1.0" encoding="utf-8"?>
<x:worksheet xmlns:x="http://schemas.openxmlformats.org/spreadsheetml/2006/main">
  <x:sheetPr>
    <x:tabColor rgb="FF2BC3E8"/>
  </x:sheetPr>
  <x:sheetViews>
    <x:sheetView showGridLines="0" workbookViewId="0"/>
  </x:sheetViews>
  <x:sheetFormatPr baseColWidth="10" defaultColWidth="8.83203125" defaultRowHeight="14"/>
  <x:cols>
    <x:col min="1" max="1" width="3.33203125" style="27" customWidth="1"/>
    <x:col min="2" max="2" width="17" style="27" hidden="0" customWidth="1"/>
    <x:col min="3" max="5" width="11" style="27" customWidth="1"/>
    <x:col min="6" max="17" width="13" style="27" customWidth="1"/>
    <x:col min="18" max="16384" width="8.83203125" style="27" customWidth="0"/>
    <x:col min="9" max="9" width="31" hidden="0" customWidth="1"/>
  </x:cols>
  <x:sheetData>
    <x:row r="2" ht="24" customHeight="1">
      <x:c r="B2" s="325" t="str">
        <x:v>Merchant delivery quality</x:v>
      </x:c>
      <x:c r="C2" s="290"/>
      <x:c r="D2" s="290"/>
      <x:c r="E2" s="290"/>
      <x:c r="F2" s="290"/>
      <x:c r="G2" s="290"/>
      <x:c r="H2" s="290"/>
      <x:c r="I2" s="290"/>
      <x:c r="J2" s="291" t="str">
        <x:v>SELECTED REPORTING PERIOD</x:v>
      </x:c>
      <x:c r="K2" s="292"/>
      <x:c r="L2" s="292"/>
      <x:c r="M2" s="293"/>
      <x:c r="N2" s="291" t="str">
        <x:v>DATA CURRENT THROUGH</x:v>
      </x:c>
      <x:c r="O2" s="292"/>
      <x:c r="P2" s="292"/>
      <x:c r="Q2" s="293"/>
    </x:row>
    <x:row r="3" ht="24" customHeight="1">
      <x:c r="B3" s="326" t="str">
        <x:v>Selected-period operational view</x:v>
      </x:c>
      <x:c r="C3" s="294"/>
      <x:c r="D3" s="294"/>
      <x:c r="E3" s="294"/>
      <x:c r="F3" s="294"/>
      <x:c r="G3" s="294"/>
      <x:c r="H3" s="294"/>
      <x:c r="I3" s="294"/>
      <x:c r="J3" s="43" t="str">
        <x:f>'Data &amp; Targets'!C9</x:f>
        <x:v>2018-08</x:v>
      </x:c>
      <x:c r="K3" s="44"/>
      <x:c r="L3" s="44"/>
      <x:c r="M3" s="45"/>
      <x:c r="N3" s="43" t="str">
        <x:f>'Data &amp; Targets'!C10</x:f>
        <x:v>2018-08</x:v>
      </x:c>
      <x:c r="O3" s="44"/>
      <x:c r="P3" s="44"/>
      <x:c r="Q3" s="45"/>
    </x:row>
    <x:row r="4" ht="20" customHeight="1">
      <x:c r="B4" s="327" t="str">
        <x:v>Source: Olist public e-commerce data. Merchant attribution uses single-seller delivered orders.</x:v>
      </x:c>
      <x:c r="C4" s="295"/>
      <x:c r="D4" s="295"/>
      <x:c r="E4" s="295"/>
      <x:c r="F4" s="295"/>
      <x:c r="G4" s="295"/>
      <x:c r="H4" s="295"/>
      <x:c r="I4" s="295"/>
      <x:c r="J4" s="295"/>
      <x:c r="K4" s="295"/>
      <x:c r="L4" s="295"/>
      <x:c r="M4" s="295"/>
      <x:c r="N4" s="295"/>
      <x:c r="O4" s="295"/>
      <x:c r="P4" s="295"/>
      <x:c r="Q4" s="295"/>
    </x:row>
    <x:row r="5" ht="20" customHeight="1">
      <x:c r="B5" s="296" t="str">
        <x:v>ON-TIME DELIVERY</x:v>
      </x:c>
      <x:c r="C5" s="297"/>
      <x:c r="D5" s="297"/>
      <x:c r="E5" s="298"/>
      <x:c r="F5" s="296" t="str">
        <x:v>LATE DISPATCH</x:v>
      </x:c>
      <x:c r="G5" s="297"/>
      <x:c r="H5" s="297"/>
      <x:c r="I5" s="298"/>
      <x:c r="J5" s="296" t="str">
        <x:v>APPROVAL TO CARRIER</x:v>
      </x:c>
      <x:c r="K5" s="297"/>
      <x:c r="L5" s="297"/>
      <x:c r="M5" s="298"/>
      <x:c r="N5" s="296" t="str">
        <x:v>CARRIER TO DELIVERY</x:v>
      </x:c>
      <x:c r="O5" s="297"/>
      <x:c r="P5" s="297"/>
      <x:c r="Q5" s="298"/>
    </x:row>
    <x:row r="6" ht="27" customHeight="1">
      <x:c r="B6" s="146" t="n">
        <x:f>'_Chart Helpers'!B3</x:f>
        <x:v>0.9370091360794999</x:v>
      </x:c>
      <x:c r="C6" s="299"/>
      <x:c r="D6" s="299"/>
      <x:c r="E6" s="52"/>
      <x:c r="F6" s="146" t="n">
        <x:f>'_Chart Helpers'!B4</x:f>
        <x:v>0.0921622054816477</x:v>
      </x:c>
      <x:c r="G6" s="299"/>
      <x:c r="H6" s="299"/>
      <x:c r="I6" s="52"/>
      <x:c r="J6" s="149" t="n">
        <x:f>'_Chart Helpers'!B5</x:f>
        <x:v>2.214547157299077</x:v>
      </x:c>
      <x:c r="K6" s="300"/>
      <x:c r="L6" s="300"/>
      <x:c r="M6" s="55"/>
      <x:c r="N6" s="149" t="n">
        <x:f>'_Chart Helpers'!B6</x:f>
        <x:v>5.217998601612913</x:v>
      </x:c>
      <x:c r="O6" s="300"/>
      <x:c r="P6" s="300"/>
      <x:c r="Q6" s="55"/>
    </x:row>
    <x:row r="7" ht="27" customHeight="1">
      <x:c r="B7" s="50"/>
      <x:c r="C7" s="299"/>
      <x:c r="D7" s="299"/>
      <x:c r="E7" s="52"/>
      <x:c r="F7" s="50"/>
      <x:c r="G7" s="299"/>
      <x:c r="H7" s="299"/>
      <x:c r="I7" s="52"/>
      <x:c r="J7" s="53"/>
      <x:c r="K7" s="300"/>
      <x:c r="L7" s="300"/>
      <x:c r="M7" s="55"/>
      <x:c r="N7" s="53"/>
      <x:c r="O7" s="300"/>
      <x:c r="P7" s="300"/>
      <x:c r="Q7" s="55"/>
    </x:row>
    <x:row r="8" ht="20" customHeight="1">
      <x:c r="B8" s="147" t="n">
        <x:f>IF('_Chart Helpers'!D3="","",('_Chart Helpers'!B3-'_Chart Helpers'!D3)*100)</x:f>
        <x:v>-2.86617667097393</x:v>
      </x:c>
      <x:c r="C8" s="301" t="str">
        <x:v>pp vs prior</x:v>
      </x:c>
      <x:c r="D8" s="148" t="n">
        <x:f>('_Chart Helpers'!B3-'_Chart Helpers'!C3)*100</x:f>
        <x:v>0.55106330068595</x:v>
      </x:c>
      <x:c r="E8" s="302" t="str">
        <x:v>pp vs overall</x:v>
      </x:c>
      <x:c r="F8" s="147" t="n">
        <x:f>IF('_Chart Helpers'!D4="","",('_Chart Helpers'!B4-'_Chart Helpers'!D4)*100)</x:f>
        <x:v>0.1223106620449485</x:v>
      </x:c>
      <x:c r="G8" s="301" t="str">
        <x:v>pp vs prior</x:v>
      </x:c>
      <x:c r="H8" s="148" t="n">
        <x:f>('_Chart Helpers'!B4-'_Chart Helpers'!C4)*100</x:f>
        <x:v>0.12005902537972069</x:v>
      </x:c>
      <x:c r="I8" s="302" t="str">
        <x:v>pp vs overall</x:v>
      </x:c>
      <x:c r="J8" s="147" t="n">
        <x:f>IF('_Chart Helpers'!D5="","",('_Chart Helpers'!B5-'_Chart Helpers'!D5))</x:f>
        <x:v>-0.4157177531532543</x:v>
      </x:c>
      <x:c r="K8" s="301" t="str">
        <x:v>days vs prior</x:v>
      </x:c>
      <x:c r="L8" s="148" t="n">
        <x:f>('_Chart Helpers'!B5-'_Chart Helpers'!C5)</x:f>
        <x:v>-0.6505592820603363</x:v>
      </x:c>
      <x:c r="M8" s="302" t="str">
        <x:v>days vs overall</x:v>
      </x:c>
      <x:c r="N8" s="147" t="n">
        <x:f>IF('_Chart Helpers'!D6="","",('_Chart Helpers'!B6-'_Chart Helpers'!D6))</x:f>
        <x:v>-0.9343334606544218</x:v>
      </x:c>
      <x:c r="O8" s="301" t="str">
        <x:v>days vs prior</x:v>
      </x:c>
      <x:c r="P8" s="148" t="n">
        <x:f>('_Chart Helpers'!B6-'_Chart Helpers'!C6)</x:f>
        <x:v>-4.1469817188134845</x:v>
      </x:c>
      <x:c r="Q8" s="302" t="str">
        <x:v>days vs overall</x:v>
      </x:c>
    </x:row>
    <x:row r="9">
      <x:c r="B9" s="303"/>
      <x:c r="C9" s="303"/>
      <x:c r="D9" s="303"/>
      <x:c r="E9" s="303"/>
      <x:c r="F9" s="303"/>
      <x:c r="G9" s="303"/>
      <x:c r="H9" s="303"/>
      <x:c r="I9" s="303"/>
      <x:c r="J9" s="303"/>
      <x:c r="K9" s="303"/>
      <x:c r="L9" s="303"/>
      <x:c r="M9" s="303"/>
      <x:c r="N9" s="303"/>
      <x:c r="O9" s="303"/>
      <x:c r="P9" s="303"/>
      <x:c r="Q9" s="303"/>
    </x:row>
    <x:row r="10" ht="20" customHeight="1">
      <x:c r="B10" s="153" t="str">
        <x:v>SELECTED-MONTH SUMMARY</x:v>
      </x:c>
      <x:c r="C10" s="154"/>
      <x:c r="D10" s="154"/>
      <x:c r="E10" s="155"/>
      <x:c r="F10" s="153"/>
      <x:c r="G10" s="154"/>
      <x:c r="H10" s="154"/>
      <x:c r="I10" s="155"/>
      <x:c r="J10" s="153"/>
      <x:c r="K10" s="154"/>
      <x:c r="L10" s="154"/>
      <x:c r="M10" s="155"/>
      <x:c r="N10" s="153"/>
      <x:c r="O10" s="154"/>
      <x:c r="P10" s="154"/>
      <x:c r="Q10" s="155"/>
    </x:row>
    <x:row r="11" ht="27" customHeight="1">
      <x:c r="B11" s="208" t="str">
        <x:f>"On-time delivery was "&amp;TEXT('_Chart Helpers'!B3,"0.0%")&amp;", "&amp;IF('_Chart Helpers'!D3="","with no prior-month comparison",TEXT(('_Chart Helpers'!B3-'_Chart Helpers'!D3)*100,"+0.0;-0.0;0.0")&amp;" pp vs prior")&amp;". Late dispatch was "&amp;TEXT('_Chart Helpers'!B4,"0.0%")&amp;". Carrier-to-delivery averaged "&amp;TEXT('_Chart Helpers'!B6,"0.0")&amp;" days. Review score was "&amp;TEXT('_Chart Helpers'!B8,"0.00")&amp;" across "&amp;TEXT('_Chart Helpers'!B2,"#,##0")&amp;" delivered orders."</x:f>
        <x:v>On-time delivery was 93.7%, -2.9 pp vs prior. Late dispatch was 9.2%. Carrier-to-delivery averaged 5.2 days. Review score was 4.34 across 6,239 delivered orders.</x:v>
      </x:c>
      <x:c r="C11" s="209"/>
      <x:c r="D11" s="209"/>
      <x:c r="E11" s="210"/>
      <x:c r="F11" s="211"/>
      <x:c r="G11" s="212"/>
      <x:c r="H11" s="212"/>
      <x:c r="I11" s="213"/>
      <x:c r="J11" s="214"/>
      <x:c r="K11" s="215"/>
      <x:c r="L11" s="215"/>
      <x:c r="M11" s="216"/>
      <x:c r="N11" s="217"/>
      <x:c r="O11" s="218"/>
      <x:c r="P11" s="218"/>
      <x:c r="Q11" s="219"/>
    </x:row>
    <x:row r="12" ht="27" customHeight="1">
      <x:c r="B12" s="220"/>
      <x:c r="C12" s="221"/>
      <x:c r="D12" s="221"/>
      <x:c r="E12" s="222"/>
      <x:c r="F12" s="223"/>
      <x:c r="G12" s="224"/>
      <x:c r="H12" s="224"/>
      <x:c r="I12" s="225"/>
      <x:c r="J12" s="226"/>
      <x:c r="K12" s="227"/>
      <x:c r="L12" s="227"/>
      <x:c r="M12" s="228"/>
      <x:c r="N12" s="229"/>
      <x:c r="O12" s="230"/>
      <x:c r="P12" s="230"/>
      <x:c r="Q12" s="231"/>
    </x:row>
    <x:row r="13" ht="20" customHeight="1">
      <x:c r="B13" s="232"/>
      <x:c r="C13" s="233"/>
      <x:c r="D13" s="234"/>
      <x:c r="E13" s="235"/>
      <x:c r="F13" s="236"/>
      <x:c r="G13" s="233"/>
      <x:c r="H13" s="234"/>
      <x:c r="I13" s="235"/>
      <x:c r="J13" s="236"/>
      <x:c r="K13" s="233"/>
      <x:c r="L13" s="234"/>
      <x:c r="M13" s="235"/>
      <x:c r="N13" s="236"/>
      <x:c r="O13" s="233"/>
      <x:c r="P13" s="234"/>
      <x:c r="Q13" s="237"/>
    </x:row>
    <x:row r="14">
      <x:c r="B14" s="303"/>
      <x:c r="C14" s="303"/>
      <x:c r="D14" s="303"/>
      <x:c r="E14" s="303"/>
      <x:c r="F14" s="303"/>
      <x:c r="G14" s="303"/>
      <x:c r="H14" s="303"/>
      <x:c r="I14" s="303"/>
      <x:c r="J14" s="303"/>
      <x:c r="K14" s="303"/>
      <x:c r="L14" s="303"/>
      <x:c r="M14" s="303"/>
      <x:c r="N14" s="303"/>
      <x:c r="O14" s="303"/>
      <x:c r="P14" s="303"/>
      <x:c r="Q14" s="303"/>
    </x:row>
    <x:row r="15" ht="22" customHeight="1">
      <x:c r="B15" s="304" t="str">
        <x:v>ON-TIME DELIVERY TREND</x:v>
      </x:c>
      <x:c r="C15" s="304"/>
      <x:c r="D15" s="304"/>
      <x:c r="E15" s="304"/>
      <x:c r="F15" s="304"/>
      <x:c r="G15" s="304"/>
      <x:c r="H15" s="304"/>
      <x:c r="I15" s="304"/>
      <x:c r="J15" s="304" t="str">
        <x:v>WHERE TIME ACCUMULATES</x:v>
      </x:c>
      <x:c r="K15" s="304"/>
      <x:c r="L15" s="304"/>
      <x:c r="M15" s="304"/>
      <x:c r="N15" s="304"/>
      <x:c r="O15" s="304"/>
      <x:c r="P15" s="304"/>
      <x:c r="Q15" s="304"/>
    </x:row>
    <x:row r="16">
      <x:c r="B16" s="303"/>
      <x:c r="C16" s="303"/>
      <x:c r="D16" s="303"/>
      <x:c r="E16" s="303"/>
      <x:c r="F16" s="303"/>
      <x:c r="G16" s="303"/>
      <x:c r="H16" s="303"/>
      <x:c r="I16" s="303"/>
      <x:c r="J16" s="303"/>
      <x:c r="K16" s="303"/>
      <x:c r="L16" s="303"/>
      <x:c r="M16" s="303"/>
      <x:c r="N16" s="303"/>
      <x:c r="O16" s="303"/>
      <x:c r="P16" s="303"/>
      <x:c r="Q16" s="303"/>
    </x:row>
    <x:row r="17">
      <x:c r="B17" s="303"/>
      <x:c r="C17" s="303"/>
      <x:c r="D17" s="303"/>
      <x:c r="E17" s="303"/>
      <x:c r="F17" s="303"/>
      <x:c r="G17" s="303"/>
      <x:c r="H17" s="303"/>
      <x:c r="I17" s="303"/>
      <x:c r="J17" s="303"/>
      <x:c r="K17" s="303"/>
      <x:c r="L17" s="303"/>
      <x:c r="M17" s="303"/>
      <x:c r="N17" s="303"/>
      <x:c r="O17" s="303"/>
      <x:c r="P17" s="303"/>
      <x:c r="Q17" s="303"/>
    </x:row>
    <x:row r="18">
      <x:c r="B18" s="303"/>
      <x:c r="C18" s="303"/>
      <x:c r="D18" s="303"/>
      <x:c r="E18" s="303"/>
      <x:c r="F18" s="303"/>
      <x:c r="G18" s="303"/>
      <x:c r="H18" s="303"/>
      <x:c r="I18" s="303"/>
      <x:c r="J18" s="303"/>
      <x:c r="K18" s="303"/>
      <x:c r="L18" s="303"/>
      <x:c r="M18" s="303"/>
      <x:c r="N18" s="303"/>
      <x:c r="O18" s="303"/>
      <x:c r="P18" s="303"/>
      <x:c r="Q18" s="303"/>
    </x:row>
    <x:row r="19">
      <x:c r="B19" s="303"/>
      <x:c r="C19" s="303"/>
      <x:c r="D19" s="303"/>
      <x:c r="E19" s="303"/>
      <x:c r="F19" s="303"/>
      <x:c r="G19" s="303"/>
      <x:c r="H19" s="303"/>
      <x:c r="I19" s="303"/>
      <x:c r="J19" s="303"/>
      <x:c r="K19" s="303"/>
      <x:c r="L19" s="303"/>
      <x:c r="M19" s="303"/>
      <x:c r="N19" s="303"/>
      <x:c r="O19" s="303"/>
      <x:c r="P19" s="303"/>
      <x:c r="Q19" s="303"/>
    </x:row>
    <x:row r="20">
      <x:c r="B20" s="303"/>
      <x:c r="C20" s="303"/>
      <x:c r="D20" s="303"/>
      <x:c r="E20" s="303"/>
      <x:c r="F20" s="303"/>
      <x:c r="G20" s="303"/>
      <x:c r="H20" s="303"/>
      <x:c r="I20" s="303"/>
      <x:c r="J20" s="303"/>
      <x:c r="K20" s="303"/>
      <x:c r="L20" s="303"/>
      <x:c r="M20" s="303"/>
      <x:c r="N20" s="303"/>
      <x:c r="O20" s="303"/>
      <x:c r="P20" s="303"/>
      <x:c r="Q20" s="303"/>
    </x:row>
    <x:row r="21">
      <x:c r="B21" s="303"/>
      <x:c r="C21" s="303"/>
      <x:c r="D21" s="303"/>
      <x:c r="E21" s="303"/>
      <x:c r="F21" s="303"/>
      <x:c r="G21" s="303"/>
      <x:c r="H21" s="303"/>
      <x:c r="I21" s="303"/>
      <x:c r="J21" s="303"/>
      <x:c r="K21" s="303"/>
      <x:c r="L21" s="303"/>
      <x:c r="M21" s="303"/>
      <x:c r="N21" s="303"/>
      <x:c r="O21" s="303"/>
      <x:c r="P21" s="303"/>
      <x:c r="Q21" s="303"/>
    </x:row>
    <x:row r="22">
      <x:c r="B22" s="303"/>
      <x:c r="C22" s="303"/>
      <x:c r="D22" s="303"/>
      <x:c r="E22" s="303"/>
      <x:c r="F22" s="303"/>
      <x:c r="G22" s="303"/>
      <x:c r="H22" s="303"/>
      <x:c r="I22" s="303"/>
      <x:c r="J22" s="303"/>
      <x:c r="K22" s="303"/>
      <x:c r="L22" s="303"/>
      <x:c r="M22" s="303"/>
      <x:c r="N22" s="303"/>
      <x:c r="O22" s="303"/>
      <x:c r="P22" s="303"/>
      <x:c r="Q22" s="303"/>
    </x:row>
    <x:row r="23">
      <x:c r="B23" s="303"/>
      <x:c r="C23" s="303"/>
      <x:c r="D23" s="303"/>
      <x:c r="E23" s="303"/>
      <x:c r="F23" s="303"/>
      <x:c r="G23" s="303"/>
      <x:c r="H23" s="303"/>
      <x:c r="I23" s="303"/>
      <x:c r="J23" s="303"/>
      <x:c r="K23" s="303"/>
      <x:c r="L23" s="303"/>
      <x:c r="M23" s="303"/>
      <x:c r="N23" s="303"/>
      <x:c r="O23" s="303"/>
      <x:c r="P23" s="303"/>
      <x:c r="Q23" s="303"/>
    </x:row>
    <x:row r="24">
      <x:c r="B24" s="303"/>
      <x:c r="C24" s="303"/>
      <x:c r="D24" s="303"/>
      <x:c r="E24" s="303"/>
      <x:c r="F24" s="303"/>
      <x:c r="G24" s="303"/>
      <x:c r="H24" s="303"/>
      <x:c r="I24" s="303"/>
      <x:c r="J24" s="303"/>
      <x:c r="K24" s="303"/>
      <x:c r="L24" s="303"/>
      <x:c r="M24" s="303"/>
      <x:c r="N24" s="303"/>
      <x:c r="O24" s="303"/>
      <x:c r="P24" s="303"/>
      <x:c r="Q24" s="303"/>
    </x:row>
    <x:row r="25">
      <x:c r="B25" s="303"/>
      <x:c r="C25" s="303"/>
      <x:c r="D25" s="303"/>
      <x:c r="E25" s="303"/>
      <x:c r="F25" s="303"/>
      <x:c r="G25" s="303"/>
      <x:c r="H25" s="303"/>
      <x:c r="I25" s="303"/>
      <x:c r="J25" s="303"/>
      <x:c r="K25" s="303"/>
      <x:c r="L25" s="303"/>
      <x:c r="M25" s="303"/>
      <x:c r="N25" s="303"/>
      <x:c r="O25" s="303"/>
      <x:c r="P25" s="303"/>
      <x:c r="Q25" s="303"/>
    </x:row>
    <x:row r="26">
      <x:c r="B26" s="303"/>
      <x:c r="C26" s="303"/>
      <x:c r="D26" s="303"/>
      <x:c r="E26" s="303"/>
      <x:c r="F26" s="303"/>
      <x:c r="G26" s="303"/>
      <x:c r="H26" s="303"/>
      <x:c r="I26" s="303"/>
      <x:c r="J26" s="303"/>
      <x:c r="K26" s="303"/>
      <x:c r="L26" s="303"/>
      <x:c r="M26" s="303"/>
      <x:c r="N26" s="303"/>
      <x:c r="O26" s="303"/>
      <x:c r="P26" s="303"/>
      <x:c r="Q26" s="303"/>
    </x:row>
    <x:row r="27">
      <x:c r="B27" s="303"/>
      <x:c r="C27" s="303"/>
      <x:c r="D27" s="303"/>
      <x:c r="E27" s="303"/>
      <x:c r="F27" s="303"/>
      <x:c r="G27" s="303"/>
      <x:c r="H27" s="303"/>
      <x:c r="I27" s="303"/>
      <x:c r="J27" s="303"/>
      <x:c r="K27" s="303"/>
      <x:c r="L27" s="303"/>
      <x:c r="M27" s="303"/>
      <x:c r="N27" s="303"/>
      <x:c r="O27" s="303"/>
      <x:c r="P27" s="303"/>
      <x:c r="Q27" s="303"/>
    </x:row>
    <x:row r="28">
      <x:c r="B28" s="303"/>
      <x:c r="C28" s="303"/>
      <x:c r="D28" s="303"/>
      <x:c r="E28" s="303"/>
      <x:c r="F28" s="303"/>
      <x:c r="G28" s="303"/>
      <x:c r="H28" s="303"/>
      <x:c r="I28" s="303"/>
      <x:c r="J28" s="303"/>
      <x:c r="K28" s="303"/>
      <x:c r="L28" s="303"/>
      <x:c r="M28" s="303"/>
      <x:c r="N28" s="303"/>
      <x:c r="O28" s="303"/>
      <x:c r="P28" s="303"/>
      <x:c r="Q28" s="303"/>
    </x:row>
    <x:row r="29" ht="22" customHeight="1">
      <x:c r="B29" s="304"/>
      <x:c r="C29" s="304"/>
      <x:c r="D29" s="304"/>
      <x:c r="E29" s="304"/>
      <x:c r="F29" s="304"/>
      <x:c r="G29" s="304"/>
      <x:c r="H29" s="304"/>
      <x:c r="I29" s="304"/>
      <x:c r="J29" s="304"/>
      <x:c r="K29" s="304"/>
      <x:c r="L29" s="304"/>
      <x:c r="M29" s="304"/>
      <x:c r="N29" s="304"/>
      <x:c r="O29" s="304"/>
      <x:c r="P29" s="304"/>
      <x:c r="Q29" s="304"/>
    </x:row>
    <x:row r="30">
      <x:c r="B30" s="303"/>
      <x:c r="C30" s="303"/>
      <x:c r="D30" s="303"/>
      <x:c r="E30" s="303"/>
      <x:c r="F30" s="303"/>
      <x:c r="G30" s="303"/>
      <x:c r="H30" s="303"/>
      <x:c r="I30" s="303"/>
      <x:c r="J30" s="303"/>
      <x:c r="K30" s="303"/>
      <x:c r="L30" s="303"/>
      <x:c r="M30" s="303"/>
      <x:c r="N30" s="303"/>
      <x:c r="O30" s="303"/>
      <x:c r="P30" s="303"/>
      <x:c r="Q30" s="303"/>
    </x:row>
    <x:row r="31">
      <x:c r="B31" s="261" t="str">
        <x:v>PRIORITY MERCHANTS BY LATE ORDERS</x:v>
      </x:c>
      <x:c r="C31" s="261"/>
      <x:c r="D31" s="261"/>
      <x:c r="E31" s="261"/>
      <x:c r="F31" s="261"/>
      <x:c r="G31" s="261"/>
      <x:c r="H31" s="261"/>
      <x:c r="I31" s="261"/>
      <x:c r="J31" s="261" t="str">
        <x:v>HOW TO READ THE KPIS</x:v>
      </x:c>
      <x:c r="K31" s="261"/>
      <x:c r="L31" s="261"/>
      <x:c r="M31" s="261"/>
      <x:c r="N31" s="261"/>
      <x:c r="O31" s="261"/>
      <x:c r="P31" s="261"/>
      <x:c r="Q31" s="261"/>
    </x:row>
    <x:row r="32">
      <x:c r="B32" s="332" t="str">
        <x:v>Merchant</x:v>
      </x:c>
      <x:c r="C32" s="333" t="str">
        <x:v>State</x:v>
      </x:c>
      <x:c r="D32" s="333" t="str">
        <x:v>Orders</x:v>
      </x:c>
      <x:c r="E32" s="333" t="str">
        <x:v>Late orders</x:v>
      </x:c>
      <x:c r="F32" s="333" t="str">
        <x:v>Late rate</x:v>
      </x:c>
      <x:c r="G32" s="333" t="str">
        <x:v>Late dispatch</x:v>
      </x:c>
      <x:c r="H32" s="333" t="str">
        <x:v>Carrier days</x:v>
      </x:c>
      <x:c r="I32" s="334" t="str">
        <x:v>First evidence check</x:v>
      </x:c>
      <x:c r="J32" s="251" t="str">
        <x:v>On-time delivery asks whether the final delivery met the customer-promised date.</x:v>
      </x:c>
      <x:c r="K32" s="252"/>
      <x:c r="L32" s="252"/>
      <x:c r="M32" s="252"/>
      <x:c r="N32" s="252"/>
      <x:c r="O32" s="252"/>
      <x:c r="P32" s="252"/>
      <x:c r="Q32" s="253"/>
    </x:row>
    <x:row r="33" ht="25" customHeight="1">
      <x:c r="B33" s="361" t="str">
        <x:v>4a3ca931…</x:v>
      </x:c>
      <x:c r="C33" s="344" t="str">
        <x:v>SP</x:v>
      </x:c>
      <x:c r="D33" s="345" t="n">
        <x:v>1673</x:v>
      </x:c>
      <x:c r="E33" s="345" t="n">
        <x:v>168</x:v>
      </x:c>
      <x:c r="F33" s="346" t="n">
        <x:v>0.100418410041841</x:v>
      </x:c>
      <x:c r="G33" s="346" t="n">
        <x:v>0.09025702331141662</x:v>
      </x:c>
      <x:c r="H33" s="347" t="n">
        <x:v>11.888020660379446</x:v>
      </x:c>
      <x:c r="I33" s="364" t="str">
        <x:v>Lane and downstream evidence</x:v>
      </x:c>
      <x:c r="J33" s="254"/>
      <x:c r="K33" s="255"/>
      <x:c r="L33" s="255"/>
      <x:c r="M33" s="255"/>
      <x:c r="N33" s="255"/>
      <x:c r="O33" s="255"/>
      <x:c r="P33" s="255"/>
      <x:c r="Q33" s="256"/>
    </x:row>
    <x:row r="34" ht="25" customHeight="1">
      <x:c r="B34" s="362" t="str">
        <x:v>1f50f920…</x:v>
      </x:c>
      <x:c r="C34" s="350" t="str">
        <x:v>SP</x:v>
      </x:c>
      <x:c r="D34" s="351" t="n">
        <x:v>1364</x:v>
      </x:c>
      <x:c r="E34" s="351" t="n">
        <x:v>124</x:v>
      </x:c>
      <x:c r="F34" s="352" t="n">
        <x:v>0.09090909090909091</x:v>
      </x:c>
      <x:c r="G34" s="352" t="n">
        <x:v>0.1092375366568915</x:v>
      </x:c>
      <x:c r="H34" s="353" t="n">
        <x:v>11.905890974598131</x:v>
      </x:c>
      <x:c r="I34" s="365" t="str">
        <x:v>Handover and downstream evidence</x:v>
      </x:c>
      <x:c r="J34" s="254" t="str">
        <x:v>Late dispatch asks whether handover missed the seller shipping-limit timestamp.</x:v>
      </x:c>
      <x:c r="K34" s="255"/>
      <x:c r="L34" s="255"/>
      <x:c r="M34" s="255"/>
      <x:c r="N34" s="255"/>
      <x:c r="O34" s="255"/>
      <x:c r="P34" s="255"/>
      <x:c r="Q34" s="256"/>
    </x:row>
    <x:row r="35" ht="25" customHeight="1">
      <x:c r="B35" s="362" t="str">
        <x:v>4869f7a5…</x:v>
      </x:c>
      <x:c r="C35" s="350" t="str">
        <x:v>SP</x:v>
      </x:c>
      <x:c r="D35" s="351" t="n">
        <x:v>1111</x:v>
      </x:c>
      <x:c r="E35" s="351" t="n">
        <x:v>118</x:v>
      </x:c>
      <x:c r="F35" s="352" t="n">
        <x:v>0.10621062106210621</x:v>
      </x:c>
      <x:c r="G35" s="352" t="n">
        <x:v>0.0558055805580558</x:v>
      </x:c>
      <x:c r="H35" s="353" t="n">
        <x:v>12.36482263851385</x:v>
      </x:c>
      <x:c r="I35" s="365" t="str">
        <x:v>Lane and downstream evidence</x:v>
      </x:c>
      <x:c r="J35" s="254"/>
      <x:c r="K35" s="255"/>
      <x:c r="L35" s="255"/>
      <x:c r="M35" s="255"/>
      <x:c r="N35" s="255"/>
      <x:c r="O35" s="255"/>
      <x:c r="P35" s="255"/>
      <x:c r="Q35" s="256"/>
    </x:row>
    <x:row r="36" ht="25" customHeight="1">
      <x:c r="B36" s="362" t="str">
        <x:v>ea8482cd…</x:v>
      </x:c>
      <x:c r="C36" s="350" t="str">
        <x:v>SP</x:v>
      </x:c>
      <x:c r="D36" s="351" t="n">
        <x:v>1116</x:v>
      </x:c>
      <x:c r="E36" s="351" t="n">
        <x:v>96</x:v>
      </x:c>
      <x:c r="F36" s="352" t="n">
        <x:v>0.08602150537634409</x:v>
      </x:c>
      <x:c r="G36" s="352" t="n">
        <x:v>0.07795698924731183</x:v>
      </x:c>
      <x:c r="H36" s="353" t="n">
        <x:v>9.978271999037569</x:v>
      </x:c>
      <x:c r="I36" s="365" t="str">
        <x:v>Lane and downstream evidence</x:v>
      </x:c>
      <x:c r="J36" s="254" t="str">
        <x:v>An order can miss the seller deadline and still reach the customer on time.</x:v>
      </x:c>
      <x:c r="K36" s="255"/>
      <x:c r="L36" s="255"/>
      <x:c r="M36" s="255"/>
      <x:c r="N36" s="255"/>
      <x:c r="O36" s="255"/>
      <x:c r="P36" s="255"/>
      <x:c r="Q36" s="256"/>
    </x:row>
    <x:row r="37" ht="25" customHeight="1">
      <x:c r="B37" s="363" t="str">
        <x:v>7c67e144…</x:v>
      </x:c>
      <x:c r="C37" s="356" t="str">
        <x:v>SP</x:v>
      </x:c>
      <x:c r="D37" s="357" t="n">
        <x:v>963</x:v>
      </x:c>
      <x:c r="E37" s="357" t="n">
        <x:v>89</x:v>
      </x:c>
      <x:c r="F37" s="358" t="n">
        <x:v>0.09241952232606439</x:v>
      </x:c>
      <x:c r="G37" s="358" t="n">
        <x:v>0.29906542056074764</x:v>
      </x:c>
      <x:c r="H37" s="359" t="n">
        <x:v>10.515206157936234</x:v>
      </x:c>
      <x:c r="I37" s="366" t="str">
        <x:v>Handover and downstream evidence</x:v>
      </x:c>
      <x:c r="J37" s="254"/>
      <x:c r="K37" s="255"/>
      <x:c r="L37" s="255"/>
      <x:c r="M37" s="255"/>
      <x:c r="N37" s="255"/>
      <x:c r="O37" s="255"/>
      <x:c r="P37" s="255"/>
      <x:c r="Q37" s="256"/>
    </x:row>
    <x:row r="38">
      <x:c r="B38" s="303"/>
      <x:c r="C38" s="303"/>
      <x:c r="D38" s="303"/>
      <x:c r="E38" s="303"/>
      <x:c r="F38" s="303"/>
      <x:c r="G38" s="303"/>
      <x:c r="H38" s="303"/>
      <x:c r="I38" s="303"/>
      <x:c r="J38" s="254" t="str">
        <x:v>Merchant flags require at least 30 orders and a 95% interval above the overall late rate.</x:v>
      </x:c>
      <x:c r="K38" s="255"/>
      <x:c r="L38" s="255"/>
      <x:c r="M38" s="255"/>
      <x:c r="N38" s="255"/>
      <x:c r="O38" s="255"/>
      <x:c r="P38" s="255"/>
      <x:c r="Q38" s="256"/>
    </x:row>
    <x:row r="39">
      <x:c r="B39" s="303"/>
      <x:c r="C39" s="303"/>
      <x:c r="D39" s="303"/>
      <x:c r="E39" s="303"/>
      <x:c r="F39" s="303"/>
      <x:c r="G39" s="303"/>
      <x:c r="H39" s="303"/>
      <x:c r="I39" s="303"/>
      <x:c r="J39" s="257"/>
      <x:c r="K39" s="258"/>
      <x:c r="L39" s="258"/>
      <x:c r="M39" s="258"/>
      <x:c r="N39" s="258"/>
      <x:c r="O39" s="258"/>
      <x:c r="P39" s="258"/>
      <x:c r="Q39" s="259"/>
    </x:row>
    <x:row r="40">
      <x:c r="B40" s="261" t="str">
        <x:v>DATA CAUTION</x:v>
      </x:c>
      <x:c r="C40" s="261"/>
      <x:c r="D40" s="261"/>
      <x:c r="E40" s="261"/>
      <x:c r="F40" s="261"/>
      <x:c r="G40" s="261"/>
      <x:c r="H40" s="261"/>
      <x:c r="I40" s="261"/>
      <x:c r="J40" s="261"/>
      <x:c r="K40" s="261"/>
      <x:c r="L40" s="261"/>
      <x:c r="M40" s="261"/>
      <x:c r="N40" s="261"/>
      <x:c r="O40" s="261"/>
      <x:c r="P40" s="261"/>
      <x:c r="Q40" s="261"/>
    </x:row>
    <x:row r="41">
      <x:c r="B41" s="279" t="str">
        <x:v>The main trend starts in January 2017. October 2016 remains in the data table but has only 262 orders and unusually long customer promise windows. Results locate observable delay stages; they do not identify a carrier, hub or exception cause.</x:v>
      </x:c>
      <x:c r="C41" s="280"/>
      <x:c r="D41" s="280"/>
      <x:c r="E41" s="280"/>
      <x:c r="F41" s="280"/>
      <x:c r="G41" s="280"/>
      <x:c r="H41" s="280"/>
      <x:c r="I41" s="280"/>
      <x:c r="J41" s="280"/>
      <x:c r="K41" s="280"/>
      <x:c r="L41" s="280"/>
      <x:c r="M41" s="280"/>
      <x:c r="N41" s="280"/>
      <x:c r="O41" s="280"/>
      <x:c r="P41" s="280"/>
      <x:c r="Q41" s="281"/>
    </x:row>
    <x:row r="42">
      <x:c r="B42" s="282"/>
      <x:c r="C42" s="283"/>
      <x:c r="D42" s="283"/>
      <x:c r="E42" s="283"/>
      <x:c r="F42" s="283"/>
      <x:c r="G42" s="283"/>
      <x:c r="H42" s="283"/>
      <x:c r="I42" s="283"/>
      <x:c r="J42" s="283"/>
      <x:c r="K42" s="283"/>
      <x:c r="L42" s="283"/>
      <x:c r="M42" s="283"/>
      <x:c r="N42" s="283"/>
      <x:c r="O42" s="283"/>
      <x:c r="P42" s="283"/>
      <x:c r="Q42" s="284"/>
    </x:row>
    <x:row r="43" ht="22" customHeight="1">
      <x:c r="B43" s="285"/>
      <x:c r="C43" s="286"/>
      <x:c r="D43" s="286"/>
      <x:c r="E43" s="286"/>
      <x:c r="F43" s="286"/>
      <x:c r="G43" s="286"/>
      <x:c r="H43" s="286"/>
      <x:c r="I43" s="286"/>
      <x:c r="J43" s="286"/>
      <x:c r="K43" s="286"/>
      <x:c r="L43" s="286"/>
      <x:c r="M43" s="286"/>
      <x:c r="N43" s="286"/>
      <x:c r="O43" s="286"/>
      <x:c r="P43" s="286"/>
      <x:c r="Q43" s="287"/>
    </x:row>
    <x:row r="44" ht="26" customHeight="1">
      <x:c r="B44" s="275"/>
      <x:c r="C44" s="276"/>
      <x:c r="D44" s="276"/>
      <x:c r="E44" s="276"/>
      <x:c r="F44" s="276"/>
      <x:c r="G44" s="276"/>
      <x:c r="H44" s="276"/>
      <x:c r="I44" s="288"/>
      <x:c r="J44" s="288"/>
      <x:c r="K44" s="288"/>
      <x:c r="L44" s="288"/>
      <x:c r="M44" s="288"/>
      <x:c r="N44" s="288"/>
      <x:c r="O44" s="288"/>
      <x:c r="P44" s="288"/>
      <x:c r="Q44" s="289"/>
    </x:row>
    <x:row r="45">
      <x:c r="B45" s="305"/>
      <x:c r="C45" s="306"/>
      <x:c r="D45" s="20"/>
      <x:c r="E45" s="20"/>
      <x:c r="F45" s="20">
        <x:f t="shared" ref="F45:F52" si="0">D45-E45</x:f>
      </x:c>
      <x:c r="G45" s="21">
        <x:f t="shared" ref="G45:G52" si="1">IFERROR(D45/E45-1,"")</x:f>
      </x:c>
      <x:c r="H45" s="306"/>
      <x:c r="I45" s="303"/>
      <x:c r="J45" s="307"/>
      <x:c r="K45" s="308"/>
      <x:c r="L45" s="308"/>
      <x:c r="M45" s="308"/>
      <x:c r="N45" s="308"/>
      <x:c r="O45" s="308"/>
      <x:c r="P45" s="308"/>
      <x:c r="Q45" s="309"/>
    </x:row>
    <x:row r="46">
      <x:c r="B46" s="305"/>
      <x:c r="C46" s="306"/>
      <x:c r="D46" s="20"/>
      <x:c r="E46" s="20"/>
      <x:c r="F46" s="20">
        <x:f t="shared" si="0"/>
      </x:c>
      <x:c r="G46" s="21">
        <x:f t="shared" si="1"/>
      </x:c>
      <x:c r="H46" s="306"/>
      <x:c r="I46" s="303"/>
      <x:c r="J46" s="310"/>
      <x:c r="K46" s="311"/>
      <x:c r="L46" s="311"/>
      <x:c r="M46" s="311"/>
      <x:c r="N46" s="311"/>
      <x:c r="O46" s="311"/>
      <x:c r="P46" s="311"/>
      <x:c r="Q46" s="312"/>
    </x:row>
    <x:row r="47">
      <x:c r="B47" s="305"/>
      <x:c r="C47" s="306"/>
      <x:c r="D47" s="21"/>
      <x:c r="E47" s="21"/>
      <x:c r="F47" s="21">
        <x:f t="shared" si="0"/>
      </x:c>
      <x:c r="G47" s="21">
        <x:f t="shared" si="1"/>
      </x:c>
      <x:c r="H47" s="306"/>
      <x:c r="I47" s="303"/>
      <x:c r="J47" s="310"/>
      <x:c r="K47" s="311"/>
      <x:c r="L47" s="311"/>
      <x:c r="M47" s="311"/>
      <x:c r="N47" s="311"/>
      <x:c r="O47" s="311"/>
      <x:c r="P47" s="311"/>
      <x:c r="Q47" s="312"/>
    </x:row>
    <x:row r="48">
      <x:c r="B48" s="305"/>
      <x:c r="C48" s="306"/>
      <x:c r="D48" s="21"/>
      <x:c r="E48" s="21"/>
      <x:c r="F48" s="21">
        <x:f t="shared" si="0"/>
      </x:c>
      <x:c r="G48" s="21">
        <x:f t="shared" si="1"/>
      </x:c>
      <x:c r="H48" s="306"/>
      <x:c r="I48" s="303"/>
      <x:c r="J48" s="313"/>
      <x:c r="K48" s="314"/>
      <x:c r="L48" s="314"/>
      <x:c r="M48" s="314"/>
      <x:c r="N48" s="314"/>
      <x:c r="O48" s="314"/>
      <x:c r="P48" s="314"/>
      <x:c r="Q48" s="315"/>
    </x:row>
    <x:row r="49">
      <x:c r="B49" s="305"/>
      <x:c r="C49" s="306"/>
      <x:c r="D49" s="22"/>
      <x:c r="E49" s="22"/>
      <x:c r="F49" s="22">
        <x:f t="shared" si="0"/>
      </x:c>
      <x:c r="G49" s="21">
        <x:f t="shared" si="1"/>
      </x:c>
      <x:c r="H49" s="306"/>
      <x:c r="I49" s="303"/>
      <x:c r="J49" s="303"/>
      <x:c r="K49" s="303"/>
      <x:c r="L49" s="303"/>
      <x:c r="M49" s="303"/>
      <x:c r="N49" s="303"/>
      <x:c r="O49" s="303"/>
      <x:c r="P49" s="303"/>
      <x:c r="Q49" s="303"/>
    </x:row>
    <x:row r="50">
      <x:c r="B50" s="305"/>
      <x:c r="C50" s="306"/>
      <x:c r="D50" s="23"/>
      <x:c r="E50" s="23"/>
      <x:c r="F50" s="23">
        <x:f t="shared" si="0"/>
      </x:c>
      <x:c r="G50" s="21">
        <x:f t="shared" si="1"/>
      </x:c>
      <x:c r="H50" s="306"/>
      <x:c r="I50" s="303"/>
      <x:c r="J50" s="316"/>
      <x:c r="K50" s="317"/>
      <x:c r="L50" s="317"/>
      <x:c r="M50" s="317"/>
      <x:c r="N50" s="317"/>
      <x:c r="O50" s="317"/>
      <x:c r="P50" s="317"/>
      <x:c r="Q50" s="318"/>
    </x:row>
    <x:row r="51">
      <x:c r="B51" s="305"/>
      <x:c r="C51" s="306"/>
      <x:c r="D51" s="21"/>
      <x:c r="E51" s="21"/>
      <x:c r="F51" s="21">
        <x:f t="shared" si="0"/>
      </x:c>
      <x:c r="G51" s="21">
        <x:f t="shared" si="1"/>
      </x:c>
      <x:c r="H51" s="306"/>
      <x:c r="I51" s="303"/>
      <x:c r="J51" s="319"/>
      <x:c r="K51" s="320"/>
      <x:c r="L51" s="320"/>
      <x:c r="M51" s="320"/>
      <x:c r="N51" s="320"/>
      <x:c r="O51" s="320"/>
      <x:c r="P51" s="320"/>
      <x:c r="Q51" s="321"/>
    </x:row>
    <x:row r="52">
      <x:c r="B52" s="305"/>
      <x:c r="C52" s="306"/>
      <x:c r="D52" s="24"/>
      <x:c r="E52" s="24"/>
      <x:c r="F52" s="24">
        <x:f t="shared" si="0"/>
      </x:c>
      <x:c r="G52" s="21">
        <x:f t="shared" si="1"/>
      </x:c>
      <x:c r="H52" s="306"/>
      <x:c r="I52" s="303"/>
      <x:c r="J52" s="322"/>
      <x:c r="K52" s="323"/>
      <x:c r="L52" s="323"/>
      <x:c r="M52" s="323"/>
      <x:c r="N52" s="323"/>
      <x:c r="O52" s="323"/>
      <x:c r="P52" s="323"/>
      <x:c r="Q52" s="324"/>
    </x:row>
    <x:row r="53">
      <x:c r="B53" s="303"/>
      <x:c r="C53" s="303"/>
      <x:c r="D53" s="303"/>
      <x:c r="E53" s="303"/>
      <x:c r="F53" s="303"/>
      <x:c r="G53" s="303"/>
      <x:c r="H53" s="303"/>
      <x:c r="I53" s="303"/>
      <x:c r="J53" s="303"/>
      <x:c r="K53" s="303"/>
      <x:c r="L53" s="303"/>
      <x:c r="M53" s="303"/>
      <x:c r="N53" s="303"/>
      <x:c r="O53" s="303"/>
      <x:c r="P53" s="303"/>
      <x:c r="Q53" s="303"/>
    </x:row>
  </x:sheetData>
  <x:mergeCells>
    <x:mergeCell ref="N5:Q5"/>
    <x:mergeCell ref="N6:Q7"/>
    <x:mergeCell ref="B5:E5"/>
    <x:mergeCell ref="B6:E7"/>
    <x:mergeCell ref="F5:I5"/>
    <x:mergeCell ref="F6:I7"/>
    <x:mergeCell ref="J5:M5"/>
    <x:mergeCell ref="J6:M7"/>
    <x:mergeCell ref="J2:M2"/>
    <x:mergeCell ref="J3:M3"/>
    <x:mergeCell ref="N2:Q2"/>
    <x:mergeCell ref="N3:Q3"/>
    <x:mergeCell ref="B4:Q4"/>
    <x:mergeCell ref="B10:Q10"/>
    <x:mergeCell ref="B11:Q13"/>
    <x:mergeCell ref="B31:I31"/>
    <x:mergeCell ref="J31:Q31"/>
    <x:mergeCell ref="J32:Q33"/>
    <x:mergeCell ref="J34:Q35"/>
    <x:mergeCell ref="J36:Q37"/>
    <x:mergeCell ref="J38:Q39"/>
    <x:mergeCell ref="B40:Q40"/>
    <x:mergeCell ref="B41:Q44"/>
  </x:mergeCells>
  <x:conditionalFormatting sqref="H45:H52">
    <x:cfRule type="containsText" dxfId="2" priority="1" operator="containsText" text="Favorable"/>
    <x:cfRule type="containsText" dxfId="1" priority="2" operator="containsText" text="Watch"/>
    <x:cfRule type="containsText" dxfId="0" priority="3" operator="containsText" text="Unfavorable"/>
  </x:conditionalFormatting>
  <x:conditionalFormatting sqref="F33:F37">
    <x:cfRule type="colorScale" priority="4">
      <x:colorScale>
        <x:cfvo type="min"/>
        <x:cfvo type="percentile" val="50"/>
        <x:cfvo type="max"/>
        <x:color rgb="FFFFF2CC"/>
        <x:color rgb="FFF4A582"/>
        <x:color rgb="FFB2182B"/>
      </x:colorScale>
    </x:cfRule>
  </x:conditionalFormatting>
  <x:pageMargins left="0.7" right="0.7" top="0.75" bottom="0.75" header="0.3" footer="0.3"/>
  <x:drawing xmlns:r="http://schemas.openxmlformats.org/officeDocument/2006/relationships" r:id="R4b6f7499c9184dd1"/>
</x:worksheet>
</file>

<file path=xl/worksheets/sheet2.xml><?xml version="1.0" encoding="utf-8"?>
<x:worksheet xmlns:x="http://schemas.openxmlformats.org/spreadsheetml/2006/main">
  <x:sheetPr>
    <x:tabColor rgb="FF163A59"/>
  </x:sheetPr>
  <x:sheetViews>
    <x:sheetView showGridLines="0" workbookViewId="0">
      <x:pane ySplit="15" topLeftCell="A16" activePane="bottomLeft" state="frozen"/>
    </x:sheetView>
  </x:sheetViews>
  <x:sheetFormatPr baseColWidth="10" defaultColWidth="8.83203125" defaultRowHeight="14"/>
  <x:cols>
    <x:col min="1" max="1" width="3.33203125" style="27" customWidth="1"/>
    <x:col min="2" max="4" width="15" style="27" customWidth="1"/>
    <x:col min="5" max="5" width="15" style="27" hidden="0" customWidth="1"/>
    <x:col min="6" max="6" width="15" style="27" hidden="0" customWidth="1"/>
    <x:col min="7" max="8" width="15" style="27" customWidth="1"/>
    <x:col min="9" max="9" width="15" style="27" hidden="0" customWidth="1"/>
    <x:col min="10" max="10" width="15" style="27" hidden="0" customWidth="1"/>
    <x:col min="11" max="11" width="15" style="27" hidden="0" customWidth="1"/>
    <x:col min="12" max="15" width="16" style="27" customWidth="1"/>
    <x:col min="16" max="16" width="15" style="27" customWidth="1"/>
    <x:col min="17" max="16384" width="8.83203125" style="27" customWidth="0"/>
    <x:col min="2" max="2" width="34" hidden="0" customWidth="1"/>
    <x:col min="3" max="3" width="88" hidden="0" customWidth="1"/>
    <x:col min="4" max="4" width="15" hidden="0" customWidth="1"/>
    <x:col min="7" max="7" width="15" hidden="0" customWidth="1"/>
    <x:col min="8" max="8" width="15" hidden="0" customWidth="1"/>
    <x:col min="12" max="12" width="25" hidden="0" customWidth="1"/>
    <x:col min="13" max="13" width="14" hidden="0" customWidth="1"/>
    <x:col min="14" max="14" width="14" hidden="0" customWidth="1"/>
  </x:cols>
  <x:sheetData>
    <x:row r="2" ht="28" customHeight="1">
      <x:c r="B2" s="95" t="str">
        <x:v>Merchant delivery quality</x:v>
      </x:c>
      <x:c r="C2" s="94"/>
      <x:c r="D2" s="94"/>
      <x:c r="E2" s="94"/>
      <x:c r="F2" s="94"/>
      <x:c r="G2" s="94"/>
      <x:c r="H2" s="94"/>
      <x:c r="I2" s="94"/>
      <x:c r="J2" s="94"/>
      <x:c r="K2" s="94"/>
      <x:c r="L2" s="94"/>
      <x:c r="M2" s="94"/>
      <x:c r="N2" s="94"/>
      <x:c r="O2" s="94"/>
      <x:c r="P2" s="94"/>
    </x:row>
    <x:row r="3" ht="20" customHeight="1">
      <x:c r="B3" s="96" t="str">
        <x:v>Olist seller–order fulfilment proxy | Brazil | 2016–2018</x:v>
      </x:c>
      <x:c r="C3" s="94"/>
      <x:c r="D3" s="94"/>
      <x:c r="E3" s="94"/>
      <x:c r="F3" s="94"/>
      <x:c r="G3" s="94"/>
      <x:c r="H3" s="94"/>
      <x:c r="I3" s="94"/>
      <x:c r="J3" s="94"/>
      <x:c r="K3" s="94"/>
      <x:c r="L3" s="94"/>
      <x:c r="M3" s="94"/>
      <x:c r="N3" s="94"/>
      <x:c r="O3" s="94"/>
      <x:c r="P3" s="94"/>
    </x:row>
    <x:row r="4"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</x:row>
    <x:row r="5" ht="22" customHeight="1">
      <x:c r="B5" s="91" t="str">
        <x:v>HOW TO USE</x:v>
      </x:c>
      <x:c r="C5" s="92"/>
      <x:c r="D5" s="92"/>
      <x:c r="E5" s="92"/>
      <x:c r="F5" s="92"/>
      <x:c r="G5" s="92"/>
      <x:c r="H5" s="92"/>
      <x:c r="I5" s="92"/>
      <x:c r="J5" s="92"/>
      <x:c r="K5" s="92"/>
      <x:c r="L5" s="92"/>
      <x:c r="M5" s="92"/>
      <x:c r="N5" s="92"/>
      <x:c r="O5" s="92"/>
      <x:c r="P5" s="93"/>
    </x:row>
    <x:row r="6" ht="24" customHeight="1">
      <x:c r="B6" s="98" t="str">
        <x:v>Select a reporting month in C9. Dashboard values update from the monthly KPI table. Merchant and lane tables use the full eligible history.</x:v>
      </x:c>
      <x:c r="C6" s="98"/>
      <x:c r="D6" s="98"/>
      <x:c r="E6" s="98"/>
      <x:c r="F6" s="98"/>
      <x:c r="G6" s="98"/>
      <x:c r="H6" s="98"/>
      <x:c r="I6" s="98"/>
      <x:c r="J6" s="98"/>
      <x:c r="K6" s="98"/>
      <x:c r="L6" s="98"/>
      <x:c r="M6" s="98"/>
      <x:c r="N6" s="98"/>
      <x:c r="O6" s="98"/>
      <x:c r="P6" s="98"/>
    </x:row>
    <x:row r="7" ht="24" customHeight="1">
      <x:c r="B7" s="98" t="str">
        <x:v>Merchant comparisons require at least 30 single-seller delivered orders. Elevated means the 95% Wilson interval is above the overall late-delivery rate.</x:v>
      </x:c>
      <x:c r="C7" s="98"/>
      <x:c r="D7" s="98"/>
      <x:c r="E7" s="98"/>
      <x:c r="F7" s="98"/>
      <x:c r="G7" s="98"/>
      <x:c r="H7" s="98"/>
      <x:c r="I7" s="98"/>
      <x:c r="J7" s="98"/>
      <x:c r="K7" s="98"/>
      <x:c r="L7" s="98"/>
      <x:c r="M7" s="98"/>
      <x:c r="N7" s="98"/>
      <x:c r="O7" s="98"/>
      <x:c r="P7" s="98"/>
    </x:row>
    <x:row r="8"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</x:row>
    <x:row r="9">
      <x:c r="B9" s="99" t="str">
        <x:v>Selected period</x:v>
      </x:c>
      <x:c r="C9" s="102" t="str">
        <x:v>2018-08</x:v>
      </x:c>
      <x:c r="D9"/>
      <x:c r="E9"/>
      <x:c r="F9"/>
      <x:c r="G9"/>
      <x:c r="H9"/>
      <x:c r="I9"/>
      <x:c r="J9"/>
      <x:c r="K9"/>
      <x:c r="L9"/>
      <x:c r="M9"/>
      <x:c r="N9"/>
      <x:c r="O9"/>
      <x:c r="P9"/>
    </x:row>
    <x:row r="10" ht="26">
      <x:c r="B10" s="99" t="str">
        <x:v>Data current through</x:v>
      </x:c>
      <x:c r="C10" s="103" t="str">
        <x:v>2018-08</x:v>
      </x:c>
      <x:c r="D10"/>
      <x:c r="E10"/>
      <x:c r="F10"/>
      <x:c r="G10"/>
      <x:c r="H10"/>
      <x:c r="I10"/>
      <x:c r="J10"/>
      <x:c r="K10"/>
      <x:c r="L10"/>
      <x:c r="M10"/>
      <x:c r="N10"/>
      <x:c r="O10"/>
      <x:c r="P10"/>
    </x:row>
    <x:row r="11" ht="28" customHeight="1">
      <x:c r="B11" s="99" t="str">
        <x:v>Source note</x:v>
      </x:c>
      <x:c r="C11" s="104" t="str">
        <x:v>Olist public dataset. Main trend starts in 2017-01; the small 2016-10 cohort remains visible in this table.</x:v>
      </x:c>
      <x:c r="D11" s="105"/>
      <x:c r="E11" s="105"/>
      <x:c r="F11" s="105"/>
      <x:c r="G11" s="105"/>
      <x:c r="H11" s="105"/>
      <x:c r="I11" s="105"/>
      <x:c r="J11" s="105"/>
      <x:c r="K11" s="105"/>
      <x:c r="L11" s="105"/>
      <x:c r="M11" s="105"/>
      <x:c r="N11" s="105"/>
      <x:c r="O11" s="105"/>
      <x:c r="P11" s="105"/>
    </x:row>
    <x:row r="12"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</x:row>
    <x:row r="13" ht="22" customHeight="1">
      <x:c r="B13" s="91" t="str">
        <x:v>MONTHLY KPIS</x:v>
      </x:c>
      <x:c r="C13" s="92"/>
      <x:c r="D13" s="92"/>
      <x:c r="E13" s="92"/>
      <x:c r="F13" s="92"/>
      <x:c r="G13" s="92"/>
      <x:c r="H13" s="92"/>
      <x:c r="I13" s="92"/>
      <x:c r="J13" s="93"/>
      <x:c r="K13"/>
      <x:c r="L13" s="91" t="str">
        <x:v>OVERALL COMPARISON</x:v>
      </x:c>
      <x:c r="M13" s="92"/>
      <x:c r="N13" s="93"/>
      <x:c r="O13"/>
      <x:c r="P13"/>
    </x:row>
    <x:row r="14"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</x:row>
    <x:row r="15" ht="34" customHeight="1">
      <x:c r="B15" s="116" t="str">
        <x:v>Period</x:v>
      </x:c>
      <x:c r="C15" s="117" t="str">
        <x:v>Delivered orders</x:v>
      </x:c>
      <x:c r="D15" s="117" t="str">
        <x:v>On-time delivery</x:v>
      </x:c>
      <x:c r="E15" s="117" t="str">
        <x:v>Late dispatch</x:v>
      </x:c>
      <x:c r="F15" s="117" t="str">
        <x:v>Approval to carrier days</x:v>
      </x:c>
      <x:c r="G15" s="117" t="str">
        <x:v>Carrier to delivery days</x:v>
      </x:c>
      <x:c r="H15" s="117" t="str">
        <x:v>Purchase to delivery days</x:v>
      </x:c>
      <x:c r="I15" s="117" t="str">
        <x:v>Average review score</x:v>
      </x:c>
      <x:c r="J15" s="118" t="str">
        <x:v>Between-state share</x:v>
      </x:c>
      <x:c r="K15"/>
      <x:c r="L15" s="116" t="str">
        <x:v>Metric</x:v>
      </x:c>
      <x:c r="M15" s="117" t="str">
        <x:v>Value</x:v>
      </x:c>
      <x:c r="N15" s="118" t="str">
        <x:v>Direction</x:v>
      </x:c>
      <x:c r="O15"/>
      <x:c r="P15"/>
    </x:row>
    <x:row r="16">
      <x:c r="B16" s="119" t="str">
        <x:v>2016-10</x:v>
      </x:c>
      <x:c r="C16" s="122" t="n">
        <x:v>262</x:v>
      </x:c>
      <x:c r="D16" s="123" t="n">
        <x:v>0.9923664122137404</x:v>
      </x:c>
      <x:c r="E16" s="123" t="n">
        <x:v>0.48854961832061067</x:v>
      </x:c>
      <x:c r="F16" s="124" t="n">
        <x:v>13.079478062270287</x:v>
      </x:c>
      <x:c r="G16" s="124" t="n">
        <x:v>5.914793102210738</x:v>
      </x:c>
      <x:c r="H16" s="124" t="n">
        <x:v>19.72901121183206</x:v>
      </x:c>
      <x:c r="I16" s="125" t="n">
        <x:v>4.027027027027027</x:v>
      </x:c>
      <x:c r="J16" s="123" t="n">
        <x:v>0.6793893129770993</x:v>
      </x:c>
      <x:c r="K16"/>
      <x:c r="L16" t="str">
        <x:v>Delivered orders</x:v>
      </x:c>
      <x:c r="M16" s="127" t="n">
        <x:v>4533</x:v>
      </x:c>
      <x:c r="N16" t="str">
        <x:v>Context</x:v>
      </x:c>
      <x:c r="O16"/>
      <x:c r="P16"/>
    </x:row>
    <x:row r="17">
      <x:c r="B17" s="119" t="str">
        <x:v>2017-01</x:v>
      </x:c>
      <x:c r="C17" s="122" t="n">
        <x:v>746</x:v>
      </x:c>
      <x:c r="D17" s="123" t="n">
        <x:v>0.9705093833780161</x:v>
      </x:c>
      <x:c r="E17" s="123" t="n">
        <x:v>0.22117962466487937</x:v>
      </x:c>
      <x:c r="F17" s="124" t="n">
        <x:v>2.915033462141577</x:v>
      </x:c>
      <x:c r="G17" s="124" t="n">
        <x:v>9.234111728601928</x:v>
      </x:c>
      <x:c r="H17" s="124" t="n">
        <x:v>12.655931821566876</x:v>
      </x:c>
      <x:c r="I17" s="125" t="n">
        <x:v>4.201492537313433</x:v>
      </x:c>
      <x:c r="J17" s="123" t="n">
        <x:v>0.6863270777479893</x:v>
      </x:c>
      <x:c r="K17"/>
      <x:c r="L17" t="str">
        <x:v>On-time delivery rate</x:v>
      </x:c>
      <x:c r="M17" s="128" t="n">
        <x:v>0.9314985030726404</x:v>
      </x:c>
      <x:c r="N17" t="str">
        <x:v>Higher</x:v>
      </x:c>
      <x:c r="O17"/>
      <x:c r="P17"/>
    </x:row>
    <x:row r="18">
      <x:c r="B18" s="119" t="str">
        <x:v>2017-02</x:v>
      </x:c>
      <x:c r="C18" s="122" t="n">
        <x:v>1641</x:v>
      </x:c>
      <x:c r="D18" s="123" t="n">
        <x:v>0.9701401584399756</x:v>
      </x:c>
      <x:c r="E18" s="123" t="n">
        <x:v>0.17428397318708105</x:v>
      </x:c>
      <x:c r="F18" s="124" t="n">
        <x:v>3.2258327005983256</x:v>
      </x:c>
      <x:c r="G18" s="124" t="n">
        <x:v>9.575570500993072</x:v>
      </x:c>
      <x:c r="H18" s="124" t="n">
        <x:v>13.193812602974699</x:v>
      </x:c>
      <x:c r="I18" s="125" t="n">
        <x:v>4.2109135499693435</x:v>
      </x:c>
      <x:c r="J18" s="123" t="n">
        <x:v>0.6873857404021938</x:v>
      </x:c>
      <x:c r="K18"/>
      <x:c r="L18" t="str">
        <x:v>Late dispatch rate</x:v>
      </x:c>
      <x:c r="M18" s="128" t="n">
        <x:v>0.0909616152278505</x:v>
      </x:c>
      <x:c r="N18" t="str">
        <x:v>Lower</x:v>
      </x:c>
      <x:c r="O18"/>
      <x:c r="P18"/>
    </x:row>
    <x:row r="19">
      <x:c r="B19" s="119" t="str">
        <x:v>2017-03</x:v>
      </x:c>
      <x:c r="C19" s="122" t="n">
        <x:v>2541</x:v>
      </x:c>
      <x:c r="D19" s="123" t="n">
        <x:v>0.9543486816214088</x:v>
      </x:c>
      <x:c r="E19" s="123" t="n">
        <x:v>0.06690279417552145</x:v>
      </x:c>
      <x:c r="F19" s="124" t="n">
        <x:v>2.8564249274855333</x:v>
      </x:c>
      <x:c r="G19" s="124" t="n">
        <x:v>9.84694590202166</x:v>
      </x:c>
      <x:c r="H19" s="124" t="n">
        <x:v>12.954732853426034</x:v>
      </x:c>
      <x:c r="I19" s="125" t="n">
        <x:v>4.190126883425853</x:v>
      </x:c>
      <x:c r="J19" s="123" t="n">
        <x:v>0.6973632428177883</x:v>
      </x:c>
      <x:c r="K19"/>
      <x:c r="L19" t="str">
        <x:v>Approval to carrier days</x:v>
      </x:c>
      <x:c r="M19" s="126" t="n">
        <x:v>2.8651064393594132</x:v>
      </x:c>
      <x:c r="N19" t="str">
        <x:v>Lower</x:v>
      </x:c>
      <x:c r="O19"/>
      <x:c r="P19"/>
    </x:row>
    <x:row r="20">
      <x:c r="B20" s="119" t="str">
        <x:v>2017-04</x:v>
      </x:c>
      <x:c r="C20" s="122" t="n">
        <x:v>2285</x:v>
      </x:c>
      <x:c r="D20" s="123" t="n">
        <x:v>0.9343544857768052</x:v>
      </x:c>
      <x:c r="E20" s="123" t="n">
        <x:v>0.07177242888402625</x:v>
      </x:c>
      <x:c r="F20" s="124" t="n">
        <x:v>3.1713782515930347</x:v>
      </x:c>
      <x:c r="G20" s="124" t="n">
        <x:v>11.258093357443878</x:v>
      </x:c>
      <x:c r="H20" s="124" t="n">
        <x:v>14.930384117432533</x:v>
      </x:c>
      <x:c r="I20" s="125" t="n">
        <x:v>4.143485915492958</x:v>
      </x:c>
      <x:c r="J20" s="123" t="n">
        <x:v>0.6936542669584245</x:v>
      </x:c>
      <x:c r="K20"/>
      <x:c r="L20" t="str">
        <x:v>Carrier to delivery days</x:v>
      </x:c>
      <x:c r="M20" s="126" t="n">
        <x:v>9.364980320426397</x:v>
      </x:c>
      <x:c r="N20" t="str">
        <x:v>Lower</x:v>
      </x:c>
      <x:c r="O20"/>
      <x:c r="P20"/>
    </x:row>
    <x:row r="21">
      <x:c r="B21" s="119" t="str">
        <x:v>2017-05</x:v>
      </x:c>
      <x:c r="C21" s="122" t="n">
        <x:v>3513</x:v>
      </x:c>
      <x:c r="D21" s="123" t="n">
        <x:v>0.9698263592371192</x:v>
      </x:c>
      <x:c r="E21" s="123" t="n">
        <x:v>0.07258753202391119</x:v>
      </x:c>
      <x:c r="F21" s="124" t="n">
        <x:v>2.5816715622452975</x:v>
      </x:c>
      <x:c r="G21" s="124" t="n">
        <x:v>8.368793884619034</x:v>
      </x:c>
      <x:c r="H21" s="124" t="n">
        <x:v>11.350323293244141</x:v>
      </x:c>
      <x:c r="I21" s="125" t="n">
        <x:v>4.242754662840746</x:v>
      </x:c>
      <x:c r="J21" s="123" t="n">
        <x:v>0.681753487048107</x:v>
      </x:c>
      <x:c r="K21"/>
      <x:c r="L21" t="str">
        <x:v>Purchase to delivery days</x:v>
      </x:c>
      <x:c r="M21" s="126" t="n">
        <x:v>12.604035144965598</x:v>
      </x:c>
      <x:c r="N21" t="str">
        <x:v>Lower</x:v>
      </x:c>
      <x:c r="O21"/>
      <x:c r="P21"/>
    </x:row>
    <x:row r="22">
      <x:c r="B22" s="119" t="str">
        <x:v>2017-06</x:v>
      </x:c>
      <x:c r="C22" s="122" t="n">
        <x:v>3110</x:v>
      </x:c>
      <x:c r="D22" s="123" t="n">
        <x:v>0.9694533762057878</x:v>
      </x:c>
      <x:c r="E22" s="123" t="n">
        <x:v>0.07781350482315112</x:v>
      </x:c>
      <x:c r="F22" s="124" t="n">
        <x:v>2.7396133528892705</x:v>
      </x:c>
      <x:c r="G22" s="124" t="n">
        <x:v>8.907058156931047</x:v>
      </x:c>
      <x:c r="H22" s="124" t="n">
        <x:v>12.031276560825294</x:v>
      </x:c>
      <x:c r="I22" s="125" t="n">
        <x:v>4.232426303854876</x:v>
      </x:c>
      <x:c r="J22" s="123" t="n">
        <x:v>0.6569131832797428</x:v>
      </x:c>
      <x:c r="K22"/>
      <x:c r="L22" t="str">
        <x:v>Average review score</x:v>
      </x:c>
      <x:c r="M22" s="126" t="n">
        <x:v>4.173521003634261</x:v>
      </x:c>
      <x:c r="N22" t="str">
        <x:v>Higher</x:v>
      </x:c>
      <x:c r="O22"/>
      <x:c r="P22"/>
    </x:row>
    <x:row r="23">
      <x:c r="B23" s="119" t="str">
        <x:v>2017-07</x:v>
      </x:c>
      <x:c r="C23" s="122" t="n">
        <x:v>3808</x:v>
      </x:c>
      <x:c r="D23" s="123" t="n">
        <x:v>0.9716386554621849</x:v>
      </x:c>
      <x:c r="E23" s="123" t="n">
        <x:v>0.07668067226890757</x:v>
      </x:c>
      <x:c r="F23" s="124" t="n">
        <x:v>2.7119774097784424</x:v>
      </x:c>
      <x:c r="G23" s="124" t="n">
        <x:v>8.554960752095978</x:v>
      </x:c>
      <x:c r="H23" s="124" t="n">
        <x:v>11.651192096196116</x:v>
      </x:c>
      <x:c r="I23" s="125" t="n">
        <x:v>4.276689606493735</x:v>
      </x:c>
      <x:c r="J23" s="123" t="n">
        <x:v>0.6583508403361344</x:v>
      </x:c>
      <x:c r="K23"/>
      <x:c r="L23" t="str">
        <x:v>Between-state share</x:v>
      </x:c>
      <x:c r="M23" s="128" t="n">
        <x:v>0.6403802720731131</x:v>
      </x:c>
      <x:c r="N23" t="str">
        <x:v>Context</x:v>
      </x:c>
      <x:c r="O23"/>
      <x:c r="P23"/>
    </x:row>
    <x:row r="24">
      <x:c r="B24" s="119" t="str">
        <x:v>2017-08</x:v>
      </x:c>
      <x:c r="C24" s="122" t="n">
        <x:v>4135</x:v>
      </x:c>
      <x:c r="D24" s="123" t="n">
        <x:v>0.9707376058041113</x:v>
      </x:c>
      <x:c r="E24" s="123" t="n">
        <x:v>0.06844014510278114</x:v>
      </x:c>
      <x:c r="F24" s="124" t="n">
        <x:v>2.7117018564434052</x:v>
      </x:c>
      <x:c r="G24" s="124" t="n">
        <x:v>8.128430312038157</x:v>
      </x:c>
      <x:c r="H24" s="124" t="n">
        <x:v>11.223447836893726</x:v>
      </x:c>
      <x:c r="I24" s="125" t="n">
        <x:v>4.324001947419669</x:v>
      </x:c>
      <x:c r="J24" s="123" t="n">
        <x:v>0.6548972188633615</x:v>
      </x:c>
      <x:c r="K24"/>
      <x:c r="L24"/>
      <x:c r="M24"/>
      <x:c r="N24"/>
      <x:c r="O24"/>
      <x:c r="P24"/>
    </x:row>
    <x:row r="25">
      <x:c r="B25" s="119" t="str">
        <x:v>2017-09</x:v>
      </x:c>
      <x:c r="C25" s="122" t="n">
        <x:v>4106</x:v>
      </x:c>
      <x:c r="D25" s="123" t="n">
        <x:v>0.9556746225036532</x:v>
      </x:c>
      <x:c r="E25" s="123" t="n">
        <x:v>0.07259439707673569</x:v>
      </x:c>
      <x:c r="F25" s="124" t="n">
        <x:v>2.7926052525314224</x:v>
      </x:c>
      <x:c r="G25" s="124" t="n">
        <x:v>8.661092166847116</x:v>
      </x:c>
      <x:c r="H25" s="124" t="n">
        <x:v>11.88106212284191</x:v>
      </x:c>
      <x:c r="I25" s="125" t="n">
        <x:v>4.281472392638037</x:v>
      </x:c>
      <x:c r="J25" s="123" t="n">
        <x:v>0.6804676083779835</x:v>
      </x:c>
      <x:c r="K25"/>
      <x:c r="L25"/>
      <x:c r="M25"/>
      <x:c r="N25"/>
      <x:c r="O25"/>
      <x:c r="P25"/>
    </x:row>
    <x:row r="26">
      <x:c r="B26" s="119" t="str">
        <x:v>2017-10</x:v>
      </x:c>
      <x:c r="C26" s="122" t="n">
        <x:v>4414</x:v>
      </x:c>
      <x:c r="D26" s="123" t="n">
        <x:v>0.9576347983688265</x:v>
      </x:c>
      <x:c r="E26" s="123" t="n">
        <x:v>0.0795197100135931</x:v>
      </x:c>
      <x:c r="F26" s="124" t="n">
        <x:v>3.0751912816333555</x:v>
      </x:c>
      <x:c r="G26" s="124" t="n">
        <x:v>8.441409055677223</x:v>
      </x:c>
      <x:c r="H26" s="124" t="n">
        <x:v>11.909508114962494</x:v>
      </x:c>
      <x:c r="I26" s="125" t="n">
        <x:v>4.225581926061159</x:v>
      </x:c>
      <x:c r="J26" s="123" t="n">
        <x:v>0.671273221567739</x:v>
      </x:c>
      <x:c r="K26"/>
      <x:c r="L26"/>
      <x:c r="M26"/>
      <x:c r="N26"/>
      <x:c r="O26"/>
      <x:c r="P26"/>
    </x:row>
    <x:row r="27">
      <x:c r="B27" s="119" t="str">
        <x:v>2017-11</x:v>
      </x:c>
      <x:c r="C27" s="122" t="n">
        <x:v>7195</x:v>
      </x:c>
      <x:c r="D27" s="123" t="n">
        <x:v>0.8746351633078526</x:v>
      </x:c>
      <x:c r="E27" s="123" t="n">
        <x:v>0.12967338429464906</x:v>
      </x:c>
      <x:c r="F27" s="124" t="n">
        <x:v>3.6340108446210317</x:v>
      </x:c>
      <x:c r="G27" s="124" t="n">
        <x:v>11.127997691619695</x:v>
      </x:c>
      <x:c r="H27" s="124" t="n">
        <x:v>15.212168558412477</x:v>
      </x:c>
      <x:c r="I27" s="125" t="n">
        <x:v>4.01035689293212</x:v>
      </x:c>
      <x:c r="J27" s="123" t="n">
        <x:v>0.6639332870048645</x:v>
      </x:c>
      <x:c r="K27"/>
      <x:c r="L27"/>
      <x:c r="M27"/>
      <x:c r="N27"/>
      <x:c r="O27"/>
      <x:c r="P27"/>
    </x:row>
    <x:row r="28">
      <x:c r="B28" s="119" t="str">
        <x:v>2017-12</x:v>
      </x:c>
      <x:c r="C28" s="122" t="n">
        <x:v>5454</x:v>
      </x:c>
      <x:c r="D28" s="123" t="n">
        <x:v>0.9251925192519252</x:v>
      </x:c>
      <x:c r="E28" s="123" t="n">
        <x:v>0.10982764943160983</x:v>
      </x:c>
      <x:c r="F28" s="124" t="n">
        <x:v>3.288191742623519</x:v>
      </x:c>
      <x:c r="G28" s="124" t="n">
        <x:v>11.690885754084666</x:v>
      </x:c>
      <x:c r="H28" s="124" t="n">
        <x:v>15.425404975875676</x:v>
      </x:c>
      <x:c r="I28" s="125" t="n">
        <x:v>4.1023694927804515</x:v>
      </x:c>
      <x:c r="J28" s="123" t="n">
        <x:v>0.6371470480381372</x:v>
      </x:c>
      <x:c r="K28"/>
      <x:c r="L28"/>
      <x:c r="M28"/>
      <x:c r="N28"/>
      <x:c r="O28"/>
      <x:c r="P28"/>
    </x:row>
    <x:row r="29" ht="22" customHeight="1">
      <x:c r="B29" s="119" t="str">
        <x:v>2018-01</x:v>
      </x:c>
      <x:c r="C29" s="122" t="n">
        <x:v>6967</x:v>
      </x:c>
      <x:c r="D29" s="123" t="n">
        <x:v>0.9421558777092005</x:v>
      </x:c>
      <x:c r="E29" s="123" t="n">
        <x:v>0.10262666858045069</x:v>
      </x:c>
      <x:c r="F29" s="124" t="n">
        <x:v>3.2073260204789262</x:v>
      </x:c>
      <x:c r="G29" s="124" t="n">
        <x:v>10.512537886943209</x:v>
      </x:c>
      <x:c r="H29" s="124" t="n">
        <x:v>14.131911162544057</x:v>
      </x:c>
      <x:c r="I29" s="125" t="n">
        <x:v>4.134601475480978</x:v>
      </x:c>
      <x:c r="J29" s="123" t="n">
        <x:v>0.6420266972872112</x:v>
      </x:c>
      <x:c r="K29"/>
      <x:c r="L29"/>
      <x:c r="M29"/>
      <x:c r="N29"/>
      <x:c r="O29"/>
      <x:c r="P29"/>
    </x:row>
    <x:row r="30">
      <x:c r="B30" s="119" t="str">
        <x:v>2018-02</x:v>
      </x:c>
      <x:c r="C30" s="122" t="n">
        <x:v>6505</x:v>
      </x:c>
      <x:c r="D30" s="123" t="n">
        <x:v>0.8578016910069177</x:v>
      </x:c>
      <x:c r="E30" s="123" t="n">
        <x:v>0.12282859338970023</x:v>
      </x:c>
      <x:c r="F30" s="124" t="n">
        <x:v>3.1750104296792556</x:v>
      </x:c>
      <x:c r="G30" s="124" t="n">
        <x:v>13.413212005722094</x:v>
      </x:c>
      <x:c r="H30" s="124" t="n">
        <x:v>16.984957253323653</x:v>
      </x:c>
      <x:c r="I30" s="125" t="n">
        <x:v>3.8930525446474653</x:v>
      </x:c>
      <x:c r="J30" s="123" t="n">
        <x:v>0.6751729438893159</x:v>
      </x:c>
      <x:c r="K30"/>
      <x:c r="L30"/>
      <x:c r="M30"/>
      <x:c r="N30"/>
      <x:c r="O30"/>
      <x:c r="P30"/>
    </x:row>
    <x:row r="31">
      <x:c r="B31" s="119" t="str">
        <x:v>2018-03</x:v>
      </x:c>
      <x:c r="C31" s="122" t="n">
        <x:v>6913</x:v>
      </x:c>
      <x:c r="D31" s="123" t="n">
        <x:v>0.8084767828728483</x:v>
      </x:c>
      <x:c r="E31" s="123" t="n">
        <x:v>0.08621437870678432</x:v>
      </x:c>
      <x:c r="F31" s="124" t="n">
        <x:v>2.993407554113946</x:v>
      </x:c>
      <x:c r="G31" s="124" t="n">
        <x:v>13.014101448023316</x:v>
      </x:c>
      <x:c r="H31" s="124" t="n">
        <x:v>16.361468894487572</x:v>
      </x:c>
      <x:c r="I31" s="125" t="n">
        <x:v>3.8305875492054233</x:v>
      </x:c>
      <x:c r="J31" s="123" t="n">
        <x:v>0.6311297555330536</x:v>
      </x:c>
      <x:c r="K31"/>
      <x:c r="L31"/>
      <x:c r="M31"/>
      <x:c r="N31"/>
      <x:c r="O31"/>
      <x:c r="P31"/>
    </x:row>
    <x:row r="32">
      <x:c r="B32" s="119" t="str">
        <x:v>2018-04</x:v>
      </x:c>
      <x:c r="C32" s="122" t="n">
        <x:v>6670</x:v>
      </x:c>
      <x:c r="D32" s="123" t="n">
        <x:v>0.9541229385307346</x:v>
      </x:c>
      <x:c r="E32" s="123" t="n">
        <x:v>0.06086956521739131</x:v>
      </x:c>
      <x:c r="F32" s="124" t="n">
        <x:v>2.3999256899978247</x:v>
      </x:c>
      <x:c r="G32" s="124" t="n">
        <x:v>8.709888283288912</x:v>
      </x:c>
      <x:c r="H32" s="124" t="n">
        <x:v>11.552490185462823</x:v>
      </x:c>
      <x:c r="I32" s="125" t="n">
        <x:v>4.233851494114096</x:v>
      </x:c>
      <x:c r="J32" s="123" t="n">
        <x:v>0.6092953523238381</x:v>
      </x:c>
      <x:c r="K32"/>
      <x:c r="L32"/>
      <x:c r="M32"/>
      <x:c r="N32"/>
      <x:c r="O32"/>
      <x:c r="P32"/>
    </x:row>
    <x:row r="33">
      <x:c r="B33" s="119" t="str">
        <x:v>2018-05</x:v>
      </x:c>
      <x:c r="C33" s="122" t="n">
        <x:v>6641</x:v>
      </x:c>
      <x:c r="D33" s="123" t="n">
        <x:v>0.93344375847011</x:v>
      </x:c>
      <x:c r="E33" s="123" t="n">
        <x:v>0.066405661797922</x:v>
      </x:c>
      <x:c r="F33" s="124" t="n">
        <x:v>2.348392161315308</x:v>
      </x:c>
      <x:c r="G33" s="124" t="n">
        <x:v>8.756612036200483</x:v>
      </x:c>
      <x:c r="H33" s="124" t="n">
        <x:v>11.453434622602575</x:v>
      </x:c>
      <x:c r="I33" s="125" t="n">
        <x:v>4.2592956469165655</x:v>
      </x:c>
      <x:c r="J33" s="123" t="n">
        <x:v>0.5946393615419364</x:v>
      </x:c>
      <x:c r="K33"/>
      <x:c r="L33"/>
      <x:c r="M33"/>
      <x:c r="N33"/>
      <x:c r="O33"/>
      <x:c r="P33"/>
    </x:row>
    <x:row r="34">
      <x:c r="B34" s="119" t="str">
        <x:v>2018-06</x:v>
      </x:c>
      <x:c r="C34" s="122" t="n">
        <x:v>5989</x:v>
      </x:c>
      <x:c r="D34" s="123" t="n">
        <x:v>0.9881449323760227</x:v>
      </x:c>
      <x:c r="E34" s="123" t="n">
        <x:v>0.06829186842544666</x:v>
      </x:c>
      <x:c r="F34" s="124" t="n">
        <x:v>2.2611355312438866</x:v>
      </x:c>
      <x:c r="G34" s="124" t="n">
        <x:v>6.696346498286983</x:v>
      </x:c>
      <x:c r="H34" s="124" t="n">
        <x:v>9.26696794818278</x:v>
      </x:c>
      <x:c r="I34" s="125" t="n">
        <x:v>4.324673147837747</x:v>
      </x:c>
      <x:c r="J34" s="123" t="n">
        <x:v>0.6132910335615295</x:v>
      </x:c>
      <x:c r="K34"/>
      <x:c r="L34"/>
      <x:c r="M34"/>
      <x:c r="N34"/>
      <x:c r="O34"/>
      <x:c r="P34"/>
    </x:row>
    <x:row r="35">
      <x:c r="B35" s="119" t="str">
        <x:v>2018-07</x:v>
      </x:c>
      <x:c r="C35" s="122" t="n">
        <x:v>6059</x:v>
      </x:c>
      <x:c r="D35" s="123" t="n">
        <x:v>0.9656709027892392</x:v>
      </x:c>
      <x:c r="E35" s="123" t="n">
        <x:v>0.09093909886119822</x:v>
      </x:c>
      <x:c r="F35" s="124" t="n">
        <x:v>2.6302649104523312</x:v>
      </x:c>
      <x:c r="G35" s="124" t="n">
        <x:v>6.152332062267335</x:v>
      </x:c>
      <x:c r="H35" s="124" t="n">
        <x:v>8.99158915723778</x:v>
      </x:c>
      <x:c r="I35" s="125" t="n">
        <x:v>4.33543673198273</x:v>
      </x:c>
      <x:c r="J35" s="123" t="n">
        <x:v>0.6225449744182209</x:v>
      </x:c>
      <x:c r="K35"/>
      <x:c r="L35"/>
      <x:c r="M35"/>
      <x:c r="N35"/>
      <x:c r="O35"/>
      <x:c r="P35"/>
    </x:row>
    <x:row r="36">
      <x:c r="B36" s="119" t="str">
        <x:v>2018-08</x:v>
      </x:c>
      <x:c r="C36" s="122" t="n">
        <x:v>6239</x:v>
      </x:c>
      <x:c r="D36" s="123" t="n">
        <x:v>0.9370091360794999</x:v>
      </x:c>
      <x:c r="E36" s="123" t="n">
        <x:v>0.0921622054816477</x:v>
      </x:c>
      <x:c r="F36" s="124" t="n">
        <x:v>2.214547157299077</x:v>
      </x:c>
      <x:c r="G36" s="124" t="n">
        <x:v>5.217998601612913</x:v>
      </x:c>
      <x:c r="H36" s="124" t="n">
        <x:v>7.747473045152059</x:v>
      </x:c>
      <x:c r="I36" s="125" t="n">
        <x:v>4.338292055323255</x:v>
      </x:c>
      <x:c r="J36" s="123" t="n">
        <x:v>0.5508895656355185</x:v>
      </x:c>
    </x:row>
    <x:row r="40">
      <x:c r="B40" s="91" t="str">
        <x:v>MERCHANT EXCEPTIONS</x:v>
      </x:c>
      <x:c r="C40" s="92"/>
      <x:c r="D40" s="92"/>
      <x:c r="E40" s="92"/>
      <x:c r="F40" s="92"/>
      <x:c r="G40" s="92"/>
      <x:c r="H40" s="92"/>
      <x:c r="I40" s="92"/>
      <x:c r="J40" s="92"/>
      <x:c r="K40" s="92"/>
      <x:c r="L40" s="93"/>
    </x:row>
    <x:row r="41">
      <x:c r="B41" t="str">
        <x:v>Statistically elevated late-delivery rate; minimum 30 eligible deliveries. Review evidence before assigning cause.</x:v>
      </x:c>
    </x:row>
    <x:row r="42">
      <x:c r="B42" s="116" t="str">
        <x:v>Seller ID</x:v>
      </x:c>
      <x:c r="C42" s="117" t="str">
        <x:v>State</x:v>
      </x:c>
      <x:c r="D42" s="117" t="str">
        <x:v>City</x:v>
      </x:c>
      <x:c r="E42" s="117" t="str">
        <x:v>Delivered orders</x:v>
      </x:c>
      <x:c r="F42" s="117" t="str">
        <x:v>Late delivery</x:v>
      </x:c>
      <x:c r="G42" s="117" t="str">
        <x:v>95% CI lower</x:v>
      </x:c>
      <x:c r="H42" s="117" t="str">
        <x:v>95% CI upper</x:v>
      </x:c>
      <x:c r="I42" s="117" t="str">
        <x:v>Late dispatch</x:v>
      </x:c>
      <x:c r="J42" s="117" t="str">
        <x:v>Approval to carrier days</x:v>
      </x:c>
      <x:c r="K42" s="117" t="str">
        <x:v>Carrier to delivery days</x:v>
      </x:c>
      <x:c r="L42" s="118" t="str">
        <x:v>Review score</x:v>
      </x:c>
    </x:row>
    <x:row r="43">
      <x:c r="B43" s="119" t="str">
        <x:v>ad781527c93d00d89a11eecd9dcad7c1</x:v>
      </x:c>
      <x:c r="C43" s="119" t="str">
        <x:v>SP</x:v>
      </x:c>
      <x:c r="D43" s="119" t="str">
        <x:v>sao jose do rio preto</x:v>
      </x:c>
      <x:c r="E43" s="122" t="n">
        <x:v>33</x:v>
      </x:c>
      <x:c r="F43" s="123" t="n">
        <x:v>0.36363636363636365</x:v>
      </x:c>
      <x:c r="G43" s="123" t="n">
        <x:v>0.2218717823524236</x:v>
      </x:c>
      <x:c r="H43" s="123" t="n">
        <x:v>0.5338382169773361</x:v>
      </x:c>
      <x:c r="I43" s="123" t="n">
        <x:v>0.5454545454545454</x:v>
      </x:c>
      <x:c r="J43" s="124" t="n">
        <x:v>12.538910634118967</x:v>
      </x:c>
      <x:c r="K43" s="124" t="n">
        <x:v>14.896114969135803</x:v>
      </x:c>
      <x:c r="L43" s="125" t="n">
        <x:v>3.3636363636363638</x:v>
      </x:c>
    </x:row>
    <x:row r="44">
      <x:c r="B44" s="119" t="str">
        <x:v>ede0c03645598cdfc63ca8237acbe73d</x:v>
      </x:c>
      <x:c r="C44" s="119" t="str">
        <x:v>SP</x:v>
      </x:c>
      <x:c r="D44" s="119" t="str">
        <x:v>ribeirao preto</x:v>
      </x:c>
      <x:c r="E44" s="122" t="n">
        <x:v>43</x:v>
      </x:c>
      <x:c r="F44" s="123" t="n">
        <x:v>0.32558139534883723</x:v>
      </x:c>
      <x:c r="G44" s="123" t="n">
        <x:v>0.20493297126568708</x:v>
      </x:c>
      <x:c r="H44" s="123" t="n">
        <x:v>0.47483789032470525</x:v>
      </x:c>
      <x:c r="I44" s="123" t="n">
        <x:v>0.18604651162790697</x:v>
      </x:c>
      <x:c r="J44" s="124" t="n">
        <x:v>3.4690067829457365</x:v>
      </x:c>
      <x:c r="K44" s="124" t="n">
        <x:v>14.87057035960379</x:v>
      </x:c>
      <x:c r="L44" s="125" t="n">
        <x:v>3.5714285714285716</x:v>
      </x:c>
    </x:row>
    <x:row r="45">
      <x:c r="B45" s="119" t="str">
        <x:v>54965bbe3e4f07ae045b90b0b8541f52</x:v>
      </x:c>
      <x:c r="C45" s="119" t="str">
        <x:v>PR</x:v>
      </x:c>
      <x:c r="D45" s="119" t="str">
        <x:v>foz do iguacu</x:v>
      </x:c>
      <x:c r="E45" s="122" t="n">
        <x:v>72</x:v>
      </x:c>
      <x:c r="F45" s="123" t="n">
        <x:v>0.3055555555555556</x:v>
      </x:c>
      <x:c r="G45" s="123" t="n">
        <x:v>0.21126630975195265</x:v>
      </x:c>
      <x:c r="H45" s="123" t="n">
        <x:v>0.4195424795911143</x:v>
      </x:c>
      <x:c r="I45" s="123" t="n">
        <x:v>0.5416666666666666</x:v>
      </x:c>
      <x:c r="J45" s="124" t="n">
        <x:v>15.521046130952382</x:v>
      </x:c>
      <x:c r="K45" s="124" t="n">
        <x:v>10.895191615226338</x:v>
      </x:c>
      <x:c r="L45" s="125" t="n">
        <x:v>3.176470588235294</x:v>
      </x:c>
    </x:row>
    <x:row r="46">
      <x:c r="B46" s="119" t="str">
        <x:v>2a1348e9addc1af5aaa619b1a3679d6b</x:v>
      </x:c>
      <x:c r="C46" s="119" t="str">
        <x:v>MG</x:v>
      </x:c>
      <x:c r="D46" s="119" t="str">
        <x:v>belo horizonte</x:v>
      </x:c>
      <x:c r="E46" s="122" t="n">
        <x:v>45</x:v>
      </x:c>
      <x:c r="F46" s="123" t="n">
        <x:v>0.28888888888888886</x:v>
      </x:c>
      <x:c r="G46" s="123" t="n">
        <x:v>0.1773008248284927</x:v>
      </x:c>
      <x:c r="H46" s="123" t="n">
        <x:v>0.43368540574761577</x:v>
      </x:c>
      <x:c r="I46" s="123" t="n">
        <x:v>0.4444444444444444</x:v>
      </x:c>
      <x:c r="J46" s="124" t="n">
        <x:v>4.9844099794238685</x:v>
      </x:c>
      <x:c r="K46" s="124" t="n">
        <x:v>23.411318158436213</x:v>
      </x:c>
      <x:c r="L46" s="125" t="n">
        <x:v>3.272727272727273</x:v>
      </x:c>
    </x:row>
    <x:row r="47">
      <x:c r="B47" s="119" t="str">
        <x:v>835f0f7810c76831d6c7d24c7a646d4d</x:v>
      </x:c>
      <x:c r="C47" s="119" t="str">
        <x:v>SP</x:v>
      </x:c>
      <x:c r="D47" s="119" t="str">
        <x:v>sao paulo</x:v>
      </x:c>
      <x:c r="E47" s="122" t="n">
        <x:v>40</x:v>
      </x:c>
      <x:c r="F47" s="123" t="n">
        <x:v>0.275</x:v>
      </x:c>
      <x:c r="G47" s="123" t="n">
        <x:v>0.16108016247667337</x:v>
      </x:c>
      <x:c r="H47" s="123" t="n">
        <x:v>0.42834955806210573</x:v>
      </x:c>
      <x:c r="I47" s="123" t="n">
        <x:v>0.775</x:v>
      </x:c>
      <x:c r="J47" s="124" t="n">
        <x:v>9.830827546296296</x:v>
      </x:c>
      <x:c r="K47" s="124" t="n">
        <x:v>8.316131076388888</x:v>
      </x:c>
      <x:c r="L47" s="125" t="n">
        <x:v>3.475</x:v>
      </x:c>
    </x:row>
    <x:row r="48">
      <x:c r="B48" s="119" t="str">
        <x:v>beadbee30901a7f61d031b6b686095ad</x:v>
      </x:c>
      <x:c r="C48" s="119" t="str">
        <x:v>SP</x:v>
      </x:c>
      <x:c r="D48" s="119" t="str">
        <x:v>guarulhos</x:v>
      </x:c>
      <x:c r="E48" s="122" t="n">
        <x:v>63</x:v>
      </x:c>
      <x:c r="F48" s="123" t="n">
        <x:v>0.23809523809523808</x:v>
      </x:c>
      <x:c r="G48" s="123" t="n">
        <x:v>0.14993783678290606</x:v>
      </x:c>
      <x:c r="H48" s="123" t="n">
        <x:v>0.35635660109696865</x:v>
      </x:c>
      <x:c r="I48" s="123" t="n">
        <x:v>0.2857142857142857</x:v>
      </x:c>
      <x:c r="J48" s="124" t="n">
        <x:v>7.210902961493239</x:v>
      </x:c>
      <x:c r="K48" s="124" t="n">
        <x:v>6.543160089653146</x:v>
      </x:c>
      <x:c r="L48" s="125" t="n">
        <x:v>3.9365079365079363</x:v>
      </x:c>
    </x:row>
    <x:row r="49">
      <x:c r="B49" s="119" t="str">
        <x:v>a49928bcdf77c55c6d6e05e09a9b4ca5</x:v>
      </x:c>
      <x:c r="C49" s="119" t="str">
        <x:v>SP</x:v>
      </x:c>
      <x:c r="D49" s="119" t="str">
        <x:v>sao paulo</x:v>
      </x:c>
      <x:c r="E49" s="122" t="n">
        <x:v>93</x:v>
      </x:c>
      <x:c r="F49" s="123" t="n">
        <x:v>0.22580645161290322</x:v>
      </x:c>
      <x:c r="G49" s="123" t="n">
        <x:v>0.15270154318255835</x:v>
      </x:c>
      <x:c r="H49" s="123" t="n">
        <x:v>0.32066450663678026</x:v>
      </x:c>
      <x:c r="I49" s="123" t="n">
        <x:v>0.5698924731182796</x:v>
      </x:c>
      <x:c r="J49" s="124" t="n">
        <x:v>7.015089232377539</x:v>
      </x:c>
      <x:c r="K49" s="124" t="n">
        <x:v>9.651432696136997</x:v>
      </x:c>
      <x:c r="L49" s="125" t="n">
        <x:v>3.086021505376344</x:v>
      </x:c>
    </x:row>
    <x:row r="50">
      <x:c r="B50" s="119" t="str">
        <x:v>ef990a83bbea832f36ebe81376335aa8</x:v>
      </x:c>
      <x:c r="C50" s="119" t="str">
        <x:v>SC</x:v>
      </x:c>
      <x:c r="D50" s="119" t="str">
        <x:v>joinville</x:v>
      </x:c>
      <x:c r="E50" s="122" t="n">
        <x:v>40</x:v>
      </x:c>
      <x:c r="F50" s="123" t="n">
        <x:v>0.225</x:v>
      </x:c>
      <x:c r="G50" s="123" t="n">
        <x:v>0.12316091323540743</x:v>
      </x:c>
      <x:c r="H50" s="123" t="n">
        <x:v>0.37503096742310027</x:v>
      </x:c>
      <x:c r="I50" s="123" t="n">
        <x:v>0</x:v>
      </x:c>
      <x:c r="J50" s="124" t="n">
        <x:v>1.8191331018518517</x:v>
      </x:c>
      <x:c r="K50" s="124" t="n">
        <x:v>15.211670717592593</x:v>
      </x:c>
      <x:c r="L50" s="125" t="n">
        <x:v>3.75</x:v>
      </x:c>
    </x:row>
    <x:row r="51">
      <x:c r="B51" s="119" t="str">
        <x:v>712e6ed8aa4aa1fa65dab41fed5737e4</x:v>
      </x:c>
      <x:c r="C51" s="119" t="str">
        <x:v>SC</x:v>
      </x:c>
      <x:c r="D51" s="119" t="str">
        <x:v>videira</x:v>
      </x:c>
      <x:c r="E51" s="122" t="n">
        <x:v>77</x:v>
      </x:c>
      <x:c r="F51" s="123" t="n">
        <x:v>0.2077922077922078</x:v>
      </x:c>
      <x:c r="G51" s="123" t="n">
        <x:v>0.13215077794236726</x:v>
      </x:c>
      <x:c r="H51" s="123" t="n">
        <x:v>0.31120414592399037</x:v>
      </x:c>
      <x:c r="I51" s="123" t="n">
        <x:v>0.19480519480519481</x:v>
      </x:c>
      <x:c r="J51" s="124" t="n">
        <x:v>7.395758778258777</x:v>
      </x:c>
      <x:c r="K51" s="124" t="n">
        <x:v>16.643938642376142</x:v>
      </x:c>
      <x:c r="L51" s="125" t="n">
        <x:v>3.3947368421052633</x:v>
      </x:c>
    </x:row>
    <x:row r="52">
      <x:c r="B52" s="119" t="str">
        <x:v>3fd1e727ba94cfe122d165e176ce7967</x:v>
      </x:c>
      <x:c r="C52" s="119" t="str">
        <x:v>SP</x:v>
      </x:c>
      <x:c r="D52" s="119" t="str">
        <x:v>araraquara</x:v>
      </x:c>
      <x:c r="E52" s="122" t="n">
        <x:v>34</x:v>
      </x:c>
      <x:c r="F52" s="123" t="n">
        <x:v>0.20588235294117646</x:v>
      </x:c>
      <x:c r="G52" s="123" t="n">
        <x:v>0.10349526899031913</x:v>
      </x:c>
      <x:c r="H52" s="123" t="n">
        <x:v>0.36798388051163594</x:v>
      </x:c>
      <x:c r="I52" s="123" t="n">
        <x:v>0</x:v>
      </x:c>
      <x:c r="J52" s="124" t="n">
        <x:v>2.0831267020697166</x:v>
      </x:c>
      <x:c r="K52" s="124" t="n">
        <x:v>13.31385246459695</x:v>
      </x:c>
      <x:c r="L52" s="125" t="n">
        <x:v>4</x:v>
      </x:c>
    </x:row>
    <x:row r="53">
      <x:c r="B53" s="119" t="str">
        <x:v>71039d19d4303bf9054d69e9a9236699</x:v>
      </x:c>
      <x:c r="C53" s="119" t="str">
        <x:v>SP</x:v>
      </x:c>
      <x:c r="D53" s="119" t="str">
        <x:v>sao paulo</x:v>
      </x:c>
      <x:c r="E53" s="122" t="n">
        <x:v>34</x:v>
      </x:c>
      <x:c r="F53" s="123" t="n">
        <x:v>0.20588235294117646</x:v>
      </x:c>
      <x:c r="G53" s="123" t="n">
        <x:v>0.10349526899031913</x:v>
      </x:c>
      <x:c r="H53" s="123" t="n">
        <x:v>0.36798388051163594</x:v>
      </x:c>
      <x:c r="I53" s="123" t="n">
        <x:v>0.058823529411764705</x:v>
      </x:c>
      <x:c r="J53" s="124" t="n">
        <x:v>1.817146309912854</x:v>
      </x:c>
      <x:c r="K53" s="124" t="n">
        <x:v>11.733649918300655</x:v>
      </x:c>
      <x:c r="L53" s="125" t="n">
        <x:v>3.8823529411764706</x:v>
      </x:c>
    </x:row>
    <x:row r="54">
      <x:c r="B54" s="119" t="str">
        <x:v>66e0557ecc2b4dbea057e93f215f68d8</x:v>
      </x:c>
      <x:c r="C54" s="119" t="str">
        <x:v>SP</x:v>
      </x:c>
      <x:c r="D54" s="119" t="str">
        <x:v>sao paulo</x:v>
      </x:c>
      <x:c r="E54" s="122" t="n">
        <x:v>30</x:v>
      </x:c>
      <x:c r="F54" s="123" t="n">
        <x:v>0.2</x:v>
      </x:c>
      <x:c r="G54" s="123" t="n">
        <x:v>0.0950510717728987</x:v>
      </x:c>
      <x:c r="H54" s="123" t="n">
        <x:v>0.3730569641314825</x:v>
      </x:c>
      <x:c r="I54" s="123" t="n">
        <x:v>0.26666666666666666</x:v>
      </x:c>
      <x:c r="J54" s="124" t="n">
        <x:v>17.92581288580247</x:v>
      </x:c>
      <x:c r="K54" s="124" t="n">
        <x:v>13.606077932098765</x:v>
      </x:c>
      <x:c r="L54" s="125" t="n">
        <x:v>4.033333333333333</x:v>
      </x:c>
    </x:row>
    <x:row r="55">
      <x:c r="B55" s="119" t="str">
        <x:v>d20b021d3efdf267a402c402a48ea64b</x:v>
      </x:c>
      <x:c r="C55" s="119" t="str">
        <x:v>SP</x:v>
      </x:c>
      <x:c r="D55" s="119" t="str">
        <x:v>ibitinga</x:v>
      </x:c>
      <x:c r="E55" s="122" t="n">
        <x:v>73</x:v>
      </x:c>
      <x:c r="F55" s="123" t="n">
        <x:v>0.1917808219178082</x:v>
      </x:c>
      <x:c r="G55" s="123" t="n">
        <x:v>0.11782360890987197</x:v>
      </x:c>
      <x:c r="H55" s="123" t="n">
        <x:v>0.29655502613133206</x:v>
      </x:c>
      <x:c r="I55" s="123" t="n">
        <x:v>0.2054794520547945</x:v>
      </x:c>
      <x:c r="J55" s="124" t="n">
        <x:v>3.8571627217005733</x:v>
      </x:c>
      <x:c r="K55" s="124" t="n">
        <x:v>14.0214066463724</x:v>
      </x:c>
      <x:c r="L55" s="125" t="n">
        <x:v>3.875</x:v>
      </x:c>
    </x:row>
    <x:row r="56">
      <x:c r="B56" s="119" t="str">
        <x:v>06a2c3af7b3aee5d69171b0e14f0ee87</x:v>
      </x:c>
      <x:c r="C56" s="119" t="str">
        <x:v>MA</x:v>
      </x:c>
      <x:c r="D56" s="119" t="str">
        <x:v>sao luis</x:v>
      </x:c>
      <x:c r="E56" s="122" t="n">
        <x:v>388</x:v>
      </x:c>
      <x:c r="F56" s="123" t="n">
        <x:v>0.19072164948453607</x:v>
      </x:c>
      <x:c r="G56" s="123" t="n">
        <x:v>0.15473639711547998</x:v>
      </x:c>
      <x:c r="H56" s="123" t="n">
        <x:v>0.2327709873192449</x:v>
      </x:c>
      <x:c r="I56" s="123" t="n">
        <x:v>0.3118556701030928</x:v>
      </x:c>
      <x:c r="J56" s="124" t="n">
        <x:v>4.675575473000101</x:v>
      </x:c>
      <x:c r="K56" s="124" t="n">
        <x:v>12.924593505393279</x:v>
      </x:c>
      <x:c r="L56" s="125" t="n">
        <x:v>4.018229166666667</x:v>
      </x:c>
    </x:row>
    <x:row r="57">
      <x:c r="B57" s="119" t="str">
        <x:v>002100f778ceb8431b7a1020ff7ab48f</x:v>
      </x:c>
      <x:c r="C57" s="119" t="str">
        <x:v>SP</x:v>
      </x:c>
      <x:c r="D57" s="119" t="str">
        <x:v>franca</x:v>
      </x:c>
      <x:c r="E57" s="122" t="n">
        <x:v>48</x:v>
      </x:c>
      <x:c r="F57" s="123" t="n">
        <x:v>0.1875</x:v>
      </x:c>
      <x:c r="G57" s="123" t="n">
        <x:v>0.10191390954847647</x:v>
      </x:c>
      <x:c r="H57" s="123" t="n">
        <x:v>0.31939867149284695</x:v>
      </x:c>
      <x:c r="I57" s="123" t="n">
        <x:v>0.08333333333333333</x:v>
      </x:c>
      <x:c r="J57" s="124" t="n">
        <x:v>3.562756558641975</x:v>
      </x:c>
      <x:c r="K57" s="124" t="n">
        <x:v>11.936276041666666</x:v>
      </x:c>
      <x:c r="L57" s="125" t="n">
        <x:v>4</x:v>
      </x:c>
    </x:row>
    <x:row r="58">
      <x:c r="B58" s="119" t="str">
        <x:v>0b35c634521043bf4b47e21547b99ab5</x:v>
      </x:c>
      <x:c r="C58" s="119" t="str">
        <x:v>PR</x:v>
      </x:c>
      <x:c r="D58" s="119" t="str">
        <x:v>teixeira soares</x:v>
      </x:c>
      <x:c r="E58" s="122" t="n">
        <x:v>43</x:v>
      </x:c>
      <x:c r="F58" s="123" t="n">
        <x:v>0.18604651162790697</x:v>
      </x:c>
      <x:c r="G58" s="123" t="n">
        <x:v>0.09741751428996226</x:v>
      </x:c>
      <x:c r="H58" s="123" t="n">
        <x:v>0.32617003657274385</x:v>
      </x:c>
      <x:c r="I58" s="123" t="n">
        <x:v>0.09302325581395349</x:v>
      </x:c>
      <x:c r="J58" s="124" t="n">
        <x:v>3.615331879844961</x:v>
      </x:c>
      <x:c r="K58" s="124" t="n">
        <x:v>16.781422265288544</x:v>
      </x:c>
      <x:c r="L58" s="125" t="n">
        <x:v>3.4761904761904763</x:v>
      </x:c>
    </x:row>
    <x:row r="59">
      <x:c r="B59" s="119" t="str">
        <x:v>88460e8ebdecbfecb5f9601833981930</x:v>
      </x:c>
      <x:c r="C59" s="119" t="str">
        <x:v>PR</x:v>
      </x:c>
      <x:c r="D59" s="119" t="str">
        <x:v>maringa</x:v>
      </x:c>
      <x:c r="E59" s="122" t="n">
        <x:v>227</x:v>
      </x:c>
      <x:c r="F59" s="123" t="n">
        <x:v>0.18502202643171806</x:v>
      </x:c>
      <x:c r="G59" s="123" t="n">
        <x:v>0.13989726317522522</x:v>
      </x:c>
      <x:c r="H59" s="123" t="n">
        <x:v>0.24062995784240354</x:v>
      </x:c>
      <x:c r="I59" s="123" t="n">
        <x:v>0.5110132158590308</x:v>
      </x:c>
      <x:c r="J59" s="124" t="n">
        <x:v>8.007291821676587</x:v>
      </x:c>
      <x:c r="K59" s="124" t="n">
        <x:v>9.933295602871594</x:v>
      </x:c>
      <x:c r="L59" s="125" t="n">
        <x:v>3.519911504424779</x:v>
      </x:c>
    </x:row>
    <x:row r="60">
      <x:c r="B60" s="119" t="str">
        <x:v>ea566164622c6b439516ab18062c42cd</x:v>
      </x:c>
      <x:c r="C60" s="119" t="str">
        <x:v>SP</x:v>
      </x:c>
      <x:c r="D60" s="119" t="str">
        <x:v>sao  paulo</x:v>
      </x:c>
      <x:c r="E60" s="122" t="n">
        <x:v>50</x:v>
      </x:c>
      <x:c r="F60" s="123" t="n">
        <x:v>0.18</x:v>
      </x:c>
      <x:c r="G60" s="123" t="n">
        <x:v>0.09770192670234178</x:v>
      </x:c>
      <x:c r="H60" s="123" t="n">
        <x:v>0.30796053674300783</x:v>
      </x:c>
      <x:c r="I60" s="123" t="n">
        <x:v>0.08</x:v>
      </x:c>
      <x:c r="J60" s="124" t="n">
        <x:v>3.6400641396604936</x:v>
      </x:c>
      <x:c r="K60" s="124" t="n">
        <x:v>10.105730787037038</x:v>
      </x:c>
      <x:c r="L60" s="125" t="n">
        <x:v>3.78</x:v>
      </x:c>
    </x:row>
    <x:row r="61">
      <x:c r="B61" s="119" t="str">
        <x:v>602044f2c16190c2c6e45eb35c2e21cb</x:v>
      </x:c>
      <x:c r="C61" s="119" t="str">
        <x:v>SP</x:v>
      </x:c>
      <x:c r="D61" s="119" t="str">
        <x:v>ibitinga</x:v>
      </x:c>
      <x:c r="E61" s="122" t="n">
        <x:v>45</x:v>
      </x:c>
      <x:c r="F61" s="123" t="n">
        <x:v>0.17777777777777778</x:v>
      </x:c>
      <x:c r="G61" s="123" t="n">
        <x:v>0.09294389514104148</x:v>
      </x:c>
      <x:c r="H61" s="123" t="n">
        <x:v>0.3132982462645977</x:v>
      </x:c>
      <x:c r="I61" s="123" t="n">
        <x:v>0</x:v>
      </x:c>
      <x:c r="J61" s="124" t="n">
        <x:v>1.5555313552188552</x:v>
      </x:c>
      <x:c r="K61" s="124" t="n">
        <x:v>13.173315586419752</x:v>
      </x:c>
      <x:c r="L61" s="125" t="n">
        <x:v>3.2954545454545454</x:v>
      </x:c>
    </x:row>
    <x:row r="62">
      <x:c r="B62" s="119" t="str">
        <x:v>6039e27294dc75811c0d8a39069f52c0</x:v>
      </x:c>
      <x:c r="C62" s="119" t="str">
        <x:v>SP</x:v>
      </x:c>
      <x:c r="D62" s="119" t="str">
        <x:v>osasco</x:v>
      </x:c>
      <x:c r="E62" s="122" t="n">
        <x:v>62</x:v>
      </x:c>
      <x:c r="F62" s="123" t="n">
        <x:v>0.1774193548387097</x:v>
      </x:c>
      <x:c r="G62" s="123" t="n">
        <x:v>0.10206437766005086</x:v>
      </x:c>
      <x:c r="H62" s="123" t="n">
        <x:v>0.2904156688569637</x:v>
      </x:c>
      <x:c r="I62" s="123" t="n">
        <x:v>0.3548387096774194</x:v>
      </x:c>
      <x:c r="J62" s="124" t="n">
        <x:v>5.951984206989247</x:v>
      </x:c>
      <x:c r="K62" s="124" t="n">
        <x:v>11.62673424432497</x:v>
      </x:c>
      <x:c r="L62" s="125" t="n">
        <x:v>3.7419354838709675</x:v>
      </x:c>
    </x:row>
    <x:row r="63">
      <x:c r="B63" s="119" t="str">
        <x:v>cac4c8e7b1ca6252d8f20b2fc1a2e4af</x:v>
      </x:c>
      <x:c r="C63" s="119" t="str">
        <x:v>SP</x:v>
      </x:c>
      <x:c r="D63" s="119" t="str">
        <x:v>indaiatuba</x:v>
      </x:c>
      <x:c r="E63" s="122" t="n">
        <x:v>69</x:v>
      </x:c>
      <x:c r="F63" s="123" t="n">
        <x:v>0.17391304347826086</x:v>
      </x:c>
      <x:c r="G63" s="123" t="n">
        <x:v>0.10238368967996812</x:v>
      </x:c>
      <x:c r="H63" s="123" t="n">
        <x:v>0.2798362613128917</x:v>
      </x:c>
      <x:c r="I63" s="123" t="n">
        <x:v>0.30434782608695654</x:v>
      </x:c>
      <x:c r="J63" s="124" t="n">
        <x:v>5.7670550789760355</x:v>
      </x:c>
      <x:c r="K63" s="124" t="n">
        <x:v>12.512373523886204</x:v>
      </x:c>
      <x:c r="L63" s="125" t="n">
        <x:v>3.6838235294117645</x:v>
      </x:c>
    </x:row>
    <x:row r="64">
      <x:c r="B64" s="119" t="str">
        <x:v>2a261b5b644fa05f4f2700eb93544f2c</x:v>
      </x:c>
      <x:c r="C64" s="119" t="str">
        <x:v>SP</x:v>
      </x:c>
      <x:c r="D64" s="119" t="str">
        <x:v>porto ferreira</x:v>
      </x:c>
      <x:c r="E64" s="122" t="n">
        <x:v>46</x:v>
      </x:c>
      <x:c r="F64" s="123" t="n">
        <x:v>0.17391304347826086</x:v>
      </x:c>
      <x:c r="G64" s="123" t="n">
        <x:v>0.09085791702246311</x:v>
      </x:c>
      <x:c r="H64" s="123" t="n">
        <x:v>0.30723353716378493</x:v>
      </x:c>
      <x:c r="I64" s="123" t="n">
        <x:v>0.021739130434782608</x:v>
      </x:c>
      <x:c r="J64" s="124" t="n">
        <x:v>1.8664243827160496</x:v>
      </x:c>
      <x:c r="K64" s="124" t="n">
        <x:v>12.596492552334944</x:v>
      </x:c>
      <x:c r="L64" s="125" t="n">
        <x:v>4</x:v>
      </x:c>
    </x:row>
    <x:row r="65">
      <x:c r="B65" s="119" t="str">
        <x:v>bbad7e518d7af88a0897397ffdca1979</x:v>
      </x:c>
      <x:c r="C65" s="119" t="str">
        <x:v>SP</x:v>
      </x:c>
      <x:c r="D65" s="119" t="str">
        <x:v>sao paulo</x:v>
      </x:c>
      <x:c r="E65" s="122" t="n">
        <x:v>64</x:v>
      </x:c>
      <x:c r="F65" s="123" t="n">
        <x:v>0.171875</x:v>
      </x:c>
      <x:c r="G65" s="123" t="n">
        <x:v>0.09877742301244645</x:v>
      </x:c>
      <x:c r="H65" s="123" t="n">
        <x:v>0.282132116226582</x:v>
      </x:c>
      <x:c r="I65" s="123" t="n">
        <x:v>0.390625</x:v>
      </x:c>
      <x:c r="J65" s="124" t="n">
        <x:v>4.786337815990594</x:v>
      </x:c>
      <x:c r="K65" s="124" t="n">
        <x:v>8.61118869357639</x:v>
      </x:c>
      <x:c r="L65" s="125" t="n">
        <x:v>3.3174603174603177</x:v>
      </x:c>
    </x:row>
    <x:row r="66">
      <x:c r="B66" s="119" t="str">
        <x:v>dd55f1bb788714a40e7954c3be6df745</x:v>
      </x:c>
      <x:c r="C66" s="119" t="str">
        <x:v>SP</x:v>
      </x:c>
      <x:c r="D66" s="119" t="str">
        <x:v>sao paulo</x:v>
      </x:c>
      <x:c r="E66" s="122" t="n">
        <x:v>35</x:v>
      </x:c>
      <x:c r="F66" s="123" t="n">
        <x:v>0.17142857142857143</x:v>
      </x:c>
      <x:c r="G66" s="123" t="n">
        <x:v>0.08102640053701589</x:v>
      </x:c>
      <x:c r="H66" s="123" t="n">
        <x:v>0.3268228229904496</x:v>
      </x:c>
      <x:c r="I66" s="123" t="n">
        <x:v>0.08571428571428572</x:v>
      </x:c>
      <x:c r="J66" s="124" t="n">
        <x:v>3.268533068783069</x:v>
      </x:c>
      <x:c r="K66" s="124" t="n">
        <x:v>14.39077943121693</x:v>
      </x:c>
      <x:c r="L66" s="125" t="n">
        <x:v>3.742857142857143</x:v>
      </x:c>
    </x:row>
    <x:row r="67">
      <x:c r="B67" s="119" t="str">
        <x:v>ec8879960bd2221d5c32f8e12f7da711</x:v>
      </x:c>
      <x:c r="C67" s="119" t="str">
        <x:v>SP</x:v>
      </x:c>
      <x:c r="D67" s="119" t="str">
        <x:v>itatiba</x:v>
      </x:c>
      <x:c r="E67" s="122" t="n">
        <x:v>35</x:v>
      </x:c>
      <x:c r="F67" s="123" t="n">
        <x:v>0.17142857142857143</x:v>
      </x:c>
      <x:c r="G67" s="123" t="n">
        <x:v>0.08102640053701589</x:v>
      </x:c>
      <x:c r="H67" s="123" t="n">
        <x:v>0.3268228229904496</x:v>
      </x:c>
      <x:c r="I67" s="123" t="n">
        <x:v>0</x:v>
      </x:c>
      <x:c r="J67" s="124" t="n">
        <x:v>2.0139007936507936</x:v>
      </x:c>
      <x:c r="K67" s="124" t="n">
        <x:v>14.081410383597882</x:v>
      </x:c>
      <x:c r="L67" s="125" t="n">
        <x:v>4.294117647058823</x:v>
      </x:c>
    </x:row>
    <x:row r="68">
      <x:c r="B68" s="119" t="str">
        <x:v>1ca7077d890b907f89be8c954a02686a</x:v>
      </x:c>
      <x:c r="C68" s="119" t="str">
        <x:v>SP</x:v>
      </x:c>
      <x:c r="D68" s="119" t="str">
        <x:v>santana de parnaiba</x:v>
      </x:c>
      <x:c r="E68" s="122" t="n">
        <x:v>106</x:v>
      </x:c>
      <x:c r="F68" s="123" t="n">
        <x:v>0.16981132075471697</x:v>
      </x:c>
      <x:c r="G68" s="123" t="n">
        <x:v>0.11019962137211899</x:v>
      </x:c>
      <x:c r="H68" s="123" t="n">
        <x:v>0.25251823806319285</x:v>
      </x:c>
      <x:c r="I68" s="123" t="n">
        <x:v>0.5188679245283019</x:v>
      </x:c>
      <x:c r="J68" s="124" t="n">
        <x:v>5.383425925925926</x:v>
      </x:c>
      <x:c r="K68" s="124" t="n">
        <x:v>9.86651194531796</x:v>
      </x:c>
      <x:c r="L68" s="125" t="n">
        <x:v>2.3904761904761904</x:v>
      </x:c>
    </x:row>
    <x:row r="69">
      <x:c r="B69" s="119" t="str">
        <x:v>6973a06f484aacf400ece213dbf3d946</x:v>
      </x:c>
      <x:c r="C69" s="119" t="str">
        <x:v>SP</x:v>
      </x:c>
      <x:c r="D69" s="119" t="str">
        <x:v>sao jose dos campos</x:v>
      </x:c>
      <x:c r="E69" s="122" t="n">
        <x:v>77</x:v>
      </x:c>
      <x:c r="F69" s="123" t="n">
        <x:v>0.16883116883116883</x:v>
      </x:c>
      <x:c r="G69" s="123" t="n">
        <x:v>0.10140668708276009</x:v>
      </x:c>
      <x:c r="H69" s="123" t="n">
        <x:v>0.2677288932991118</x:v>
      </x:c>
      <x:c r="I69" s="123" t="n">
        <x:v>0.2987012987012987</x:v>
      </x:c>
      <x:c r="J69" s="124" t="n">
        <x:v>6.340975228475228</x:v>
      </x:c>
      <x:c r="K69" s="124" t="n">
        <x:v>8.851545965608466</x:v>
      </x:c>
      <x:c r="L69" s="125" t="n">
        <x:v>3.8552631578947367</x:v>
      </x:c>
    </x:row>
    <x:row r="70">
      <x:c r="B70" s="119" t="str">
        <x:v>3c03b12bab54d8b37d79d914bfdb1aa0</x:v>
      </x:c>
      <x:c r="C70" s="119" t="str">
        <x:v>RJ</x:v>
      </x:c>
      <x:c r="D70" s="119" t="str">
        <x:v>sao joao de meriti</x:v>
      </x:c>
      <x:c r="E70" s="122" t="n">
        <x:v>36</x:v>
      </x:c>
      <x:c r="F70" s="123" t="n">
        <x:v>0.16666666666666666</x:v>
      </x:c>
      <x:c r="G70" s="123" t="n">
        <x:v>0.07870447595018114</x:v>
      </x:c>
      <x:c r="H70" s="123" t="n">
        <x:v>0.31890794311279463</x:v>
      </x:c>
      <x:c r="I70" s="123" t="n">
        <x:v>0</x:v>
      </x:c>
      <x:c r="J70" s="124" t="n">
        <x:v>1.4277514146090535</x:v>
      </x:c>
      <x:c r="K70" s="124" t="n">
        <x:v>12.00930652006173</x:v>
      </x:c>
      <x:c r="L70" s="125" t="n">
        <x:v>3.8</x:v>
      </x:c>
    </x:row>
    <x:row r="71">
      <x:c r="B71" s="119" t="str">
        <x:v>c60b801f2d52c7f7f91de00870882a75</x:v>
      </x:c>
      <x:c r="C71" s="119" t="str">
        <x:v>SP</x:v>
      </x:c>
      <x:c r="D71" s="119" t="str">
        <x:v>guarulhos</x:v>
      </x:c>
      <x:c r="E71" s="122" t="n">
        <x:v>36</x:v>
      </x:c>
      <x:c r="F71" s="123" t="n">
        <x:v>0.16666666666666666</x:v>
      </x:c>
      <x:c r="G71" s="123" t="n">
        <x:v>0.07870447595018114</x:v>
      </x:c>
      <x:c r="H71" s="123" t="n">
        <x:v>0.31890794311279463</x:v>
      </x:c>
      <x:c r="I71" s="123" t="n">
        <x:v>0.4166666666666667</x:v>
      </x:c>
      <x:c r="J71" s="124" t="n">
        <x:v>7.292691936728395</x:v>
      </x:c>
      <x:c r="K71" s="124" t="n">
        <x:v>8.755448173868313</x:v>
      </x:c>
      <x:c r="L71" s="125" t="n">
        <x:v>3.5833333333333335</x:v>
      </x:c>
    </x:row>
    <x:row r="72">
      <x:c r="B72" s="119" t="str">
        <x:v>abe42c5d03695b4257b5c6cbf4e6784e</x:v>
      </x:c>
      <x:c r="C72" s="119" t="str">
        <x:v>RJ</x:v>
      </x:c>
      <x:c r="D72" s="119" t="str">
        <x:v>rio de janeiro</x:v>
      </x:c>
      <x:c r="E72" s="122" t="n">
        <x:v>49</x:v>
      </x:c>
      <x:c r="F72" s="123" t="n">
        <x:v>0.16326530612244897</x:v>
      </x:c>
      <x:c r="G72" s="123" t="n">
        <x:v>0.08512698370728837</x:v>
      </x:c>
      <x:c r="H72" s="123" t="n">
        <x:v>0.2903633843391683</x:v>
      </x:c>
      <x:c r="I72" s="123" t="n">
        <x:v>0</x:v>
      </x:c>
      <x:c r="J72" s="124" t="n">
        <x:v>1.6645476662887377</x:v>
      </x:c>
      <x:c r="K72" s="124" t="n">
        <x:v>12.416795162509448</x:v>
      </x:c>
      <x:c r="L72" s="125" t="n">
        <x:v>3.9583333333333335</x:v>
      </x:c>
    </x:row>
    <x:row r="73">
      <x:c r="B73" s="119" t="str">
        <x:v>b17b679f4f5ce2e03ce6968c62648246</x:v>
      </x:c>
      <x:c r="C73" s="119" t="str">
        <x:v>SP</x:v>
      </x:c>
      <x:c r="D73" s="119" t="str">
        <x:v>ribeirao preto</x:v>
      </x:c>
      <x:c r="E73" s="122" t="n">
        <x:v>50</x:v>
      </x:c>
      <x:c r="F73" s="123" t="n">
        <x:v>0.16</x:v>
      </x:c>
      <x:c r="G73" s="123" t="n">
        <x:v>0.08337420678033404</x:v>
      </x:c>
      <x:c r="H73" s="123" t="n">
        <x:v>0.2851421606303499</x:v>
      </x:c>
      <x:c r="I73" s="123" t="n">
        <x:v>0.18</x:v>
      </x:c>
      <x:c r="J73" s="124" t="n">
        <x:v>3.9485194444444445</x:v>
      </x:c>
      <x:c r="K73" s="124" t="n">
        <x:v>14.62440185185185</x:v>
      </x:c>
      <x:c r="L73" s="125" t="n">
        <x:v>3.98</x:v>
      </x:c>
    </x:row>
    <x:row r="74">
      <x:c r="B74" s="119" t="str">
        <x:v>e5a3438891c0bfdb9394643f95273d8e</x:v>
      </x:c>
      <x:c r="C74" s="119" t="str">
        <x:v>SP</x:v>
      </x:c>
      <x:c r="D74" s="119" t="str">
        <x:v>limeira</x:v>
      </x:c>
      <x:c r="E74" s="122" t="n">
        <x:v>213</x:v>
      </x:c>
      <x:c r="F74" s="123" t="n">
        <x:v>0.1596244131455399</x:v>
      </x:c>
      <x:c r="G74" s="123" t="n">
        <x:v>0.11653409589998884</x:v>
      </x:c>
      <x:c r="H74" s="123" t="n">
        <x:v>0.21477459023138293</x:v>
      </x:c>
      <x:c r="I74" s="123" t="n">
        <x:v>0.1784037558685446</x:v>
      </x:c>
      <x:c r="J74" s="124" t="n">
        <x:v>3.377090777690836</x:v>
      </x:c>
      <x:c r="K74" s="124" t="n">
        <x:v>11.84160488393323</x:v>
      </x:c>
      <x:c r="L74" s="125" t="n">
        <x:v>4.018867924528302</x:v>
      </x:c>
    </x:row>
    <x:row r="75">
      <x:c r="B75" s="119" t="str">
        <x:v>8b9d6eec4a7eb7d0f9d579ce0b38324d</x:v>
      </x:c>
      <x:c r="C75" s="119" t="str">
        <x:v>RJ</x:v>
      </x:c>
      <x:c r="D75" s="119" t="str">
        <x:v>mesquita</x:v>
      </x:c>
      <x:c r="E75" s="122" t="n">
        <x:v>44</x:v>
      </x:c>
      <x:c r="F75" s="123" t="n">
        <x:v>0.1590909090909091</x:v>
      </x:c>
      <x:c r="G75" s="123" t="n">
        <x:v>0.0792667701220125</x:v>
      </x:c>
      <x:c r="H75" s="123" t="n">
        <x:v>0.29366205062240613</x:v>
      </x:c>
      <x:c r="I75" s="123" t="n">
        <x:v>0.22727272727272727</x:v>
      </x:c>
      <x:c r="J75" s="124" t="n">
        <x:v>2.0631885228251505</x:v>
      </x:c>
      <x:c r="K75" s="124" t="n">
        <x:v>8.471015888047138</x:v>
      </x:c>
      <x:c r="L75" s="125" t="n">
        <x:v>4.2727272727272725</x:v>
      </x:c>
    </x:row>
    <x:row r="76">
      <x:c r="B76" s="119" t="str">
        <x:v>05f51e13da97139648b8125c31e5f51b</x:v>
      </x:c>
      <x:c r="C76" s="119" t="str">
        <x:v>MG</x:v>
      </x:c>
      <x:c r="D76" s="119" t="str">
        <x:v>belo horizonte</x:v>
      </x:c>
      <x:c r="E76" s="122" t="n">
        <x:v>57</x:v>
      </x:c>
      <x:c r="F76" s="123" t="n">
        <x:v>0.15789473684210525</x:v>
      </x:c>
      <x:c r="G76" s="123" t="n">
        <x:v>0.0853579597035527</x:v>
      </x:c>
      <x:c r="H76" s="123" t="n">
        <x:v>0.2736317694063802</x:v>
      </x:c>
      <x:c r="I76" s="123" t="n">
        <x:v>0.19298245614035087</x:v>
      </x:c>
      <x:c r="J76" s="124" t="n">
        <x:v>4.991830531189084</x:v>
      </x:c>
      <x:c r="K76" s="124" t="n">
        <x:v>7.338907366796621</x:v>
      </x:c>
      <x:c r="L76" s="125" t="n">
        <x:v>4.228070175438597</x:v>
      </x:c>
    </x:row>
    <x:row r="77">
      <x:c r="B77" s="119" t="str">
        <x:v>cd68562d3f44870c08922d380acae552</x:v>
      </x:c>
      <x:c r="C77" s="119" t="str">
        <x:v>SP</x:v>
      </x:c>
      <x:c r="D77" s="119" t="str">
        <x:v>ribeirao preto</x:v>
      </x:c>
      <x:c r="E77" s="122" t="n">
        <x:v>122</x:v>
      </x:c>
      <x:c r="F77" s="123" t="n">
        <x:v>0.1557377049180328</x:v>
      </x:c>
      <x:c r="G77" s="123" t="n">
        <x:v>0.10202734884743364</x:v>
      </x:c>
      <x:c r="H77" s="123" t="n">
        <x:v>0.2304660854531982</x:v>
      </x:c>
      <x:c r="I77" s="123" t="n">
        <x:v>0.14754098360655737</x:v>
      </x:c>
      <x:c r="J77" s="124" t="n">
        <x:v>3.3155583067698844</x:v>
      </x:c>
      <x:c r="K77" s="124" t="n">
        <x:v>12.5805293715847</x:v>
      </x:c>
      <x:c r="L77" s="125" t="n">
        <x:v>4.016528925619835</x:v>
      </x:c>
    </x:row>
    <x:row r="78">
      <x:c r="B78" s="119" t="str">
        <x:v>2c9e548be18521d1c43cde1c582c6de8</x:v>
      </x:c>
      <x:c r="C78" s="119" t="str">
        <x:v>SP</x:v>
      </x:c>
      <x:c r="D78" s="119" t="str">
        <x:v>mogi das cruzes</x:v>
      </x:c>
      <x:c r="E78" s="122" t="n">
        <x:v>123</x:v>
      </x:c>
      <x:c r="F78" s="123" t="n">
        <x:v>0.15447154471544716</x:v>
      </x:c>
      <x:c r="G78" s="123" t="n">
        <x:v>0.10117791843878993</x:v>
      </x:c>
      <x:c r="H78" s="123" t="n">
        <x:v>0.22869418497057037</x:v>
      </x:c>
      <x:c r="I78" s="123" t="n">
        <x:v>0.024390243902439025</x:v>
      </x:c>
      <x:c r="J78" s="124" t="n">
        <x:v>1.6037503794778385</x:v>
      </x:c>
      <x:c r="K78" s="124" t="n">
        <x:v>11.717907068654021</x:v>
      </x:c>
      <x:c r="L78" s="125" t="n">
        <x:v>4.12396694214876</x:v>
      </x:c>
    </x:row>
    <x:row r="79">
      <x:c r="B79" s="119" t="str">
        <x:v>0bf0150d5b9d60d9cd2906003332f085</x:v>
      </x:c>
      <x:c r="C79" s="119" t="str">
        <x:v>SP</x:v>
      </x:c>
      <x:c r="D79" s="119" t="str">
        <x:v>sao paulo</x:v>
      </x:c>
      <x:c r="E79" s="122" t="n">
        <x:v>39</x:v>
      </x:c>
      <x:c r="F79" s="123" t="n">
        <x:v>0.15384615384615385</x:v>
      </x:c>
      <x:c r="G79" s="123" t="n">
        <x:v>0.07247472376982099</x:v>
      </x:c>
      <x:c r="H79" s="123" t="n">
        <x:v>0.29729463648926696</x:v>
      </x:c>
      <x:c r="I79" s="123" t="n">
        <x:v>0.28205128205128205</x:v>
      </x:c>
      <x:c r="J79" s="124" t="n">
        <x:v>5.220763584307992</x:v>
      </x:c>
      <x:c r="K79" s="124" t="n">
        <x:v>8.587070868945869</x:v>
      </x:c>
      <x:c r="L79" s="125" t="n">
        <x:v>3.789473684210526</x:v>
      </x:c>
    </x:row>
    <x:row r="80">
      <x:c r="B80" s="119" t="str">
        <x:v>834f8533b2ecb6598dd004ff3de7203a</x:v>
      </x:c>
      <x:c r="C80" s="119" t="str">
        <x:v>SP</x:v>
      </x:c>
      <x:c r="D80" s="119" t="str">
        <x:v>sao paulo</x:v>
      </x:c>
      <x:c r="E80" s="122" t="n">
        <x:v>40</x:v>
      </x:c>
      <x:c r="F80" s="123" t="n">
        <x:v>0.15</x:v>
      </x:c>
      <x:c r="G80" s="123" t="n">
        <x:v>0.07061187717320358</x:v>
      </x:c>
      <x:c r="H80" s="123" t="n">
        <x:v>0.2907232436648971</x:v>
      </x:c>
      <x:c r="I80" s="123" t="n">
        <x:v>0.475</x:v>
      </x:c>
      <x:c r="J80" s="124" t="n">
        <x:v>7.076693865740741</x:v>
      </x:c>
      <x:c r="K80" s="124" t="n">
        <x:v>7.269738425925927</x:v>
      </x:c>
      <x:c r="L80" s="125" t="n">
        <x:v>3.925</x:v>
      </x:c>
    </x:row>
    <x:row r="81">
      <x:c r="B81" s="119" t="str">
        <x:v>891071be6ba827b591264c90c2ae8a63</x:v>
      </x:c>
      <x:c r="C81" s="119" t="str">
        <x:v>SP</x:v>
      </x:c>
      <x:c r="D81" s="119" t="str">
        <x:v>sao paulo</x:v>
      </x:c>
      <x:c r="E81" s="122" t="n">
        <x:v>82</x:v>
      </x:c>
      <x:c r="F81" s="123" t="n">
        <x:v>0.14634146341463414</x:v>
      </x:c>
      <x:c r="G81" s="123" t="n">
        <x:v>0.08574162210230579</x:v>
      </x:c>
      <x:c r="H81" s="123" t="n">
        <x:v>0.23859418489800904</x:v>
      </x:c>
      <x:c r="I81" s="123" t="n">
        <x:v>0.18292682926829268</x:v>
      </x:c>
      <x:c r="J81" s="124" t="n">
        <x:v>3.4149391289437583</x:v>
      </x:c>
      <x:c r="K81" s="124" t="n">
        <x:v>10.064427506775067</x:v>
      </x:c>
      <x:c r="L81" s="125" t="n">
        <x:v>3.9634146341463414</x:v>
      </x:c>
    </x:row>
    <x:row r="82">
      <x:c r="B82" s="119" t="str">
        <x:v>b561927807645834b59ef0d16ba55a24</x:v>
      </x:c>
      <x:c r="C82" s="119" t="str">
        <x:v>SP</x:v>
      </x:c>
      <x:c r="D82" s="119" t="str">
        <x:v>sao paulo</x:v>
      </x:c>
      <x:c r="E82" s="122" t="n">
        <x:v>82</x:v>
      </x:c>
      <x:c r="F82" s="123" t="n">
        <x:v>0.14634146341463414</x:v>
      </x:c>
      <x:c r="G82" s="123" t="n">
        <x:v>0.08574162210230579</x:v>
      </x:c>
      <x:c r="H82" s="123" t="n">
        <x:v>0.23859418489800904</x:v>
      </x:c>
      <x:c r="I82" s="123" t="n">
        <x:v>0.0975609756097561</x:v>
      </x:c>
      <x:c r="J82" s="124" t="n">
        <x:v>3.521746132565492</x:v>
      </x:c>
      <x:c r="K82" s="124" t="n">
        <x:v>8.729893151535682</x:v>
      </x:c>
      <x:c r="L82" s="125" t="n">
        <x:v>4.329268292682927</x:v>
      </x:c>
    </x:row>
    <x:row r="83">
      <x:c r="B83" s="119" t="str">
        <x:v>11bfa66332777660bd0640ee84d47006</x:v>
      </x:c>
      <x:c r="C83" s="119" t="str">
        <x:v>SP</x:v>
      </x:c>
      <x:c r="D83" s="119" t="str">
        <x:v>ribeirao preto</x:v>
      </x:c>
      <x:c r="E83" s="122" t="n">
        <x:v>76</x:v>
      </x:c>
      <x:c r="F83" s="123" t="n">
        <x:v>0.14473684210526316</x:v>
      </x:c>
      <x:c r="G83" s="123" t="n">
        <x:v>0.08278516269157667</x:v>
      </x:c>
      <x:c r="H83" s="123" t="n">
        <x:v>0.24087448985470516</x:v>
      </x:c>
      <x:c r="I83" s="123" t="n">
        <x:v>0.039473684210526314</x:v>
      </x:c>
      <x:c r="J83" s="124" t="n">
        <x:v>2.1002275219298245</x:v>
      </x:c>
      <x:c r="K83" s="124" t="n">
        <x:v>13.91176093445419</x:v>
      </x:c>
      <x:c r="L83" s="125" t="n">
        <x:v>3.8947368421052633</x:v>
      </x:c>
    </x:row>
    <x:row r="84">
      <x:c r="B84" s="119" t="str">
        <x:v>8160255418d5aaa7dbdc9f4c64ebda44</x:v>
      </x:c>
      <x:c r="C84" s="119" t="str">
        <x:v>SP</x:v>
      </x:c>
      <x:c r="D84" s="119" t="str">
        <x:v>ibitinga</x:v>
      </x:c>
      <x:c r="E84" s="122" t="n">
        <x:v>355</x:v>
      </x:c>
      <x:c r="F84" s="123" t="n">
        <x:v>0.14366197183098592</x:v>
      </x:c>
      <x:c r="G84" s="123" t="n">
        <x:v>0.11098641315436114</x:v>
      </x:c>
      <x:c r="H84" s="123" t="n">
        <x:v>0.18396684884756653</x:v>
      </x:c>
      <x:c r="I84" s="123" t="n">
        <x:v>0.2535211267605634</x:v>
      </x:c>
      <x:c r="J84" s="124" t="n">
        <x:v>3.7515634535458755</x:v>
      </x:c>
      <x:c r="K84" s="124" t="n">
        <x:v>12.352999804381845</x:v>
      </x:c>
      <x:c r="L84" s="125" t="n">
        <x:v>4.0256410256410255</x:v>
      </x:c>
    </x:row>
    <x:row r="85">
      <x:c r="B85" s="119" t="str">
        <x:v>900ba814c251a692506d7834c1218441</x:v>
      </x:c>
      <x:c r="C85" s="119" t="str">
        <x:v>SP</x:v>
      </x:c>
      <x:c r="D85" s="119" t="str">
        <x:v>salto</x:v>
      </x:c>
      <x:c r="E85" s="122" t="n">
        <x:v>84</x:v>
      </x:c>
      <x:c r="F85" s="123" t="n">
        <x:v>0.14285714285714285</x:v>
      </x:c>
      <x:c r="G85" s="123" t="n">
        <x:v>0.08365020540566916</x:v>
      </x:c>
      <x:c r="H85" s="123" t="n">
        <x:v>0.23330102917623075</x:v>
      </x:c>
      <x:c r="I85" s="123" t="n">
        <x:v>0.17857142857142858</x:v>
      </x:c>
      <x:c r="J85" s="124" t="n">
        <x:v>3.45419353505291</x:v>
      </x:c>
      <x:c r="K85" s="124" t="n">
        <x:v>8.461913442460318</x:v>
      </x:c>
      <x:c r="L85" s="125" t="n">
        <x:v>4.2439024390243905</x:v>
      </x:c>
    </x:row>
    <x:row r="86">
      <x:c r="B86" s="119" t="str">
        <x:v>8e6d7754bc7e0f22c96d255ebda59eba</x:v>
      </x:c>
      <x:c r="C86" s="119" t="str">
        <x:v>SP</x:v>
      </x:c>
      <x:c r="D86" s="119" t="str">
        <x:v>sao jose dos campos</x:v>
      </x:c>
      <x:c r="E86" s="122" t="n">
        <x:v>77</x:v>
      </x:c>
      <x:c r="F86" s="123" t="n">
        <x:v>0.14285714285714285</x:v>
      </x:c>
      <x:c r="G86" s="123" t="n">
        <x:v>0.0816833163991473</x:v>
      </x:c>
      <x:c r="H86" s="123" t="n">
        <x:v>0.23797270165973414</x:v>
      </x:c>
      <x:c r="I86" s="123" t="n">
        <x:v>0.38961038961038963</x:v>
      </x:c>
      <x:c r="J86" s="124" t="n">
        <x:v>5.130333844396344</x:v>
      </x:c>
      <x:c r="K86" s="124" t="n">
        <x:v>10.203671536796536</x:v>
      </x:c>
      <x:c r="L86" s="125" t="n">
        <x:v>3.655844155844156</x:v>
      </x:c>
    </x:row>
    <x:row r="87">
      <x:c r="B87" s="119" t="str">
        <x:v>50c9975695009e5e6473912e83a6d1da</x:v>
      </x:c>
      <x:c r="C87" s="119" t="str">
        <x:v>MG</x:v>
      </x:c>
      <x:c r="D87" s="119" t="str">
        <x:v>claudio</x:v>
      </x:c>
      <x:c r="E87" s="122" t="n">
        <x:v>49</x:v>
      </x:c>
      <x:c r="F87" s="123" t="n">
        <x:v>0.14285714285714285</x:v>
      </x:c>
      <x:c r="G87" s="123" t="n">
        <x:v>0.0709642372040676</x:v>
      </x:c>
      <x:c r="H87" s="123" t="n">
        <x:v>0.26667706223914406</x:v>
      </x:c>
      <x:c r="I87" s="123" t="n">
        <x:v>0.08163265306122448</x:v>
      </x:c>
      <x:c r="J87" s="124" t="n">
        <x:v>3.2816822562358277</x:v>
      </x:c>
      <x:c r="K87" s="124" t="n">
        <x:v>12.923838340891914</x:v>
      </x:c>
      <x:c r="L87" s="125" t="n">
        <x:v>3.9583333333333335</x:v>
      </x:c>
    </x:row>
    <x:row r="88">
      <x:c r="B88" s="119" t="str">
        <x:v>f7ba60f8c3f99e7ee4042fdef03b70c4</x:v>
      </x:c>
      <x:c r="C88" s="119" t="str">
        <x:v>SP</x:v>
      </x:c>
      <x:c r="D88" s="119" t="str">
        <x:v>sao bernardo do campo</x:v>
      </x:c>
      <x:c r="E88" s="122" t="n">
        <x:v>213</x:v>
      </x:c>
      <x:c r="F88" s="123" t="n">
        <x:v>0.14084507042253522</x:v>
      </x:c>
      <x:c r="G88" s="123" t="n">
        <x:v>0.10047228580295067</x:v>
      </x:c>
      <x:c r="H88" s="123" t="n">
        <x:v>0.19394308645980715</x:v>
      </x:c>
      <x:c r="I88" s="123" t="n">
        <x:v>0.009389671361502348</x:v>
      </x:c>
      <x:c r="J88" s="124" t="n">
        <x:v>2.1201924258381606</x:v>
      </x:c>
      <x:c r="K88" s="124" t="n">
        <x:v>10.810229851330204</x:v>
      </x:c>
      <x:c r="L88" s="125" t="n">
        <x:v>4.258215962441315</x:v>
      </x:c>
    </x:row>
    <x:row r="89">
      <x:c r="B89" s="119" t="str">
        <x:v>431af27f296bc6519d890aa5a05fdb11</x:v>
      </x:c>
      <x:c r="C89" s="119" t="str">
        <x:v>SP</x:v>
      </x:c>
      <x:c r="D89" s="119" t="str">
        <x:v>ribeirao preto</x:v>
      </x:c>
      <x:c r="E89" s="122" t="n">
        <x:v>114</x:v>
      </x:c>
      <x:c r="F89" s="123" t="n">
        <x:v>0.14035087719298245</x:v>
      </x:c>
      <x:c r="G89" s="123" t="n">
        <x:v>0.0882740658274536</x:v>
      </x:c>
      <x:c r="H89" s="123" t="n">
        <x:v>0.21587575698855527</x:v>
      </x:c>
      <x:c r="I89" s="123" t="n">
        <x:v>0.2631578947368421</x:v>
      </x:c>
      <x:c r="J89" s="124" t="n">
        <x:v>4.448592125568551</x:v>
      </x:c>
      <x:c r="K89" s="124" t="n">
        <x:v>12.567431063190384</x:v>
      </x:c>
      <x:c r="L89" s="125" t="n">
        <x:v>3.84070796460177</x:v>
      </x:c>
    </x:row>
    <x:row r="90">
      <x:c r="B90" s="119" t="str">
        <x:v>adbc26658d6c7b4b6219f9d934598091</x:v>
      </x:c>
      <x:c r="C90" s="119" t="str">
        <x:v>PR</x:v>
      </x:c>
      <x:c r="D90" s="119" t="str">
        <x:v>curitiba</x:v>
      </x:c>
      <x:c r="E90" s="122" t="n">
        <x:v>86</x:v>
      </x:c>
      <x:c r="F90" s="123" t="n">
        <x:v>0.13953488372093023</x:v>
      </x:c>
      <x:c r="G90" s="123" t="n">
        <x:v>0.08165847155571476</x:v>
      </x:c>
      <x:c r="H90" s="123" t="n">
        <x:v>0.22823697299912266</x:v>
      </x:c>
      <x:c r="I90" s="123" t="n">
        <x:v>0.2441860465116279</x:v>
      </x:c>
      <x:c r="J90" s="124" t="n">
        <x:v>3.1853505689424364</x:v>
      </x:c>
      <x:c r="K90" s="124" t="n">
        <x:v>13.87849779285099</x:v>
      </x:c>
      <x:c r="L90" s="125" t="n">
        <x:v>4.116279069767442</x:v>
      </x:c>
    </x:row>
    <x:row r="91">
      <x:c r="B91" s="119" t="str">
        <x:v>7ad32824caee82087b3e2e5f33b1bf32</x:v>
      </x:c>
      <x:c r="C91" s="119" t="str">
        <x:v>SP</x:v>
      </x:c>
      <x:c r="D91" s="119" t="str">
        <x:v>ibitinga</x:v>
      </x:c>
      <x:c r="E91" s="122" t="n">
        <x:v>140</x:v>
      </x:c>
      <x:c r="F91" s="123" t="n">
        <x:v>0.1357142857142857</x:v>
      </x:c>
      <x:c r="G91" s="123" t="n">
        <x:v>0.08863473719289164</x:v>
      </x:c>
      <x:c r="H91" s="123" t="n">
        <x:v>0.20225120879053785</x:v>
      </x:c>
      <x:c r="I91" s="123" t="n">
        <x:v>0.03571428571428571</x:v>
      </x:c>
      <x:c r="J91" s="124" t="n">
        <x:v>1.6152282475490196</x:v>
      </x:c>
      <x:c r="K91" s="124" t="n">
        <x:v>10.534074156746032</x:v>
      </x:c>
      <x:c r="L91" s="125" t="n">
        <x:v>3.927007299270073</x:v>
      </x:c>
    </x:row>
    <x:row r="92">
      <x:c r="B92" s="119" t="str">
        <x:v>b499c00f28f4b7069ff6550af8c1348a</x:v>
      </x:c>
      <x:c r="C92" s="119" t="str">
        <x:v>SP</x:v>
      </x:c>
      <x:c r="D92" s="119" t="str">
        <x:v>limeira</x:v>
      </x:c>
      <x:c r="E92" s="122" t="n">
        <x:v>141</x:v>
      </x:c>
      <x:c r="F92" s="123" t="n">
        <x:v>0.1347517730496454</x:v>
      </x:c>
      <x:c r="G92" s="123" t="n">
        <x:v>0.08799312362640585</x:v>
      </x:c>
      <x:c r="H92" s="123" t="n">
        <x:v>0.20088451652834835</x:v>
      </x:c>
      <x:c r="I92" s="123" t="n">
        <x:v>0.19148936170212766</x:v>
      </x:c>
      <x:c r="J92" s="124" t="n">
        <x:v>3.096050724637681</x:v>
      </x:c>
      <x:c r="K92" s="124" t="n">
        <x:v>8.106531389545573</x:v>
      </x:c>
      <x:c r="L92" s="125" t="n">
        <x:v>4.26241134751773</x:v>
      </x:c>
    </x:row>
    <x:row r="93">
      <x:c r="B93" s="119" t="str">
        <x:v>6fd52c528dcb38be2eea044946b811f8</x:v>
      </x:c>
      <x:c r="C93" s="119" t="str">
        <x:v>SP</x:v>
      </x:c>
      <x:c r="D93" s="119" t="str">
        <x:v>sao paulo</x:v>
      </x:c>
      <x:c r="E93" s="122" t="n">
        <x:v>67</x:v>
      </x:c>
      <x:c r="F93" s="123" t="n">
        <x:v>0.13432835820895522</x:v>
      </x:c>
      <x:c r="G93" s="123" t="n">
        <x:v>0.07231091664295486</x:v>
      </x:c>
      <x:c r="H93" s="123" t="n">
        <x:v>0.23600372261337027</x:v>
      </x:c>
      <x:c r="I93" s="123" t="n">
        <x:v>0.2835820895522388</x:v>
      </x:c>
      <x:c r="J93" s="124" t="n">
        <x:v>13.856695515478165</x:v>
      </x:c>
      <x:c r="K93" s="124" t="n">
        <x:v>7.391035793255942</x:v>
      </x:c>
      <x:c r="L93" s="125" t="n">
        <x:v>3.393939393939394</x:v>
      </x:c>
    </x:row>
    <x:row r="94">
      <x:c r="B94" s="119" t="str">
        <x:v>440dd6ab244315c632130ecfb63827b1</x:v>
      </x:c>
      <x:c r="C94" s="119" t="str">
        <x:v>SP</x:v>
      </x:c>
      <x:c r="D94" s="119" t="str">
        <x:v>votuporanga</x:v>
      </x:c>
      <x:c r="E94" s="122" t="n">
        <x:v>90</x:v>
      </x:c>
      <x:c r="F94" s="123" t="n">
        <x:v>0.13333333333333333</x:v>
      </x:c>
      <x:c r="G94" s="123" t="n">
        <x:v>0.07794682040686314</x:v>
      </x:c>
      <x:c r="H94" s="123" t="n">
        <x:v>0.21873930500697653</x:v>
      </x:c>
      <x:c r="I94" s="123" t="n">
        <x:v>0.1</x:v>
      </x:c>
      <x:c r="J94" s="124" t="n">
        <x:v>2.6228272890946505</x:v>
      </x:c>
      <x:c r="K94" s="124" t="n">
        <x:v>13.737921167695474</x:v>
      </x:c>
      <x:c r="L94" s="125" t="n">
        <x:v>3.922222222222222</x:v>
      </x:c>
    </x:row>
    <x:row r="95">
      <x:c r="B95" s="119" t="str">
        <x:v>dd7ddc04e1b6c2c614352b383efe2d36</x:v>
      </x:c>
      <x:c r="C95" s="119" t="str">
        <x:v>SP</x:v>
      </x:c>
      <x:c r="D95" s="119" t="str">
        <x:v>sao paulo</x:v>
      </x:c>
      <x:c r="E95" s="122" t="n">
        <x:v>114</x:v>
      </x:c>
      <x:c r="F95" s="123" t="n">
        <x:v>0.13157894736842105</x:v>
      </x:c>
      <x:c r="G95" s="123" t="n">
        <x:v>0.08138650983774753</x:v>
      </x:c>
      <x:c r="H95" s="123" t="n">
        <x:v>0.2057913574371884</x:v>
      </x:c>
      <x:c r="I95" s="123" t="n">
        <x:v>0.37719298245614036</x:v>
      </x:c>
      <x:c r="J95" s="124" t="n">
        <x:v>6.918447742543428</x:v>
      </x:c>
      <x:c r="K95" s="124" t="n">
        <x:v>8.330147214100064</x:v>
      </x:c>
      <x:c r="L95" s="125" t="n">
        <x:v>3.920353982300885</x:v>
      </x:c>
    </x:row>
    <x:row r="96">
      <x:c r="B96" s="119" t="str">
        <x:v>855668e0971d4dfd7bef1b6a4133b41b</x:v>
      </x:c>
      <x:c r="C96" s="119" t="str">
        <x:v>SP</x:v>
      </x:c>
      <x:c r="D96" s="119" t="str">
        <x:v>itatiba</x:v>
      </x:c>
      <x:c r="E96" s="122" t="n">
        <x:v>296</x:v>
      </x:c>
      <x:c r="F96" s="123" t="n">
        <x:v>0.12837837837837837</x:v>
      </x:c>
      <x:c r="G96" s="123" t="n">
        <x:v>0.09497853643853232</x:v>
      </x:c>
      <x:c r="H96" s="123" t="n">
        <x:v>0.17130038020867988</x:v>
      </x:c>
      <x:c r="I96" s="123" t="n">
        <x:v>0.1858108108108108</x:v>
      </x:c>
      <x:c r="J96" s="124" t="n">
        <x:v>5.928820034958427</x:v>
      </x:c>
      <x:c r="K96" s="124" t="n">
        <x:v>10.004416330392893</x:v>
      </x:c>
      <x:c r="L96" s="125" t="n">
        <x:v>3.8835616438356166</x:v>
      </x:c>
    </x:row>
    <x:row r="97">
      <x:c r="B97" s="119" t="str">
        <x:v>2e90cb1677d35cfe24eef47d441b7c87</x:v>
      </x:c>
      <x:c r="C97" s="119" t="str">
        <x:v>SP</x:v>
      </x:c>
      <x:c r="D97" s="119" t="str">
        <x:v>sao paulo</x:v>
      </x:c>
      <x:c r="E97" s="122" t="n">
        <x:v>126</x:v>
      </x:c>
      <x:c r="F97" s="123" t="n">
        <x:v>0.12698412698412698</x:v>
      </x:c>
      <x:c r="G97" s="123" t="n">
        <x:v>0.07969646065163147</x:v>
      </x:c>
      <x:c r="H97" s="123" t="n">
        <x:v>0.196343712850961</x:v>
      </x:c>
      <x:c r="I97" s="123" t="n">
        <x:v>0.05555555555555555</x:v>
      </x:c>
      <x:c r="J97" s="124" t="n">
        <x:v>1.928628005525687</x:v>
      </x:c>
      <x:c r="K97" s="124" t="n">
        <x:v>10.221852862286891</x:v>
      </x:c>
      <x:c r="L97" s="125" t="n">
        <x:v>4.111111111111111</x:v>
      </x:c>
    </x:row>
    <x:row r="98">
      <x:c r="B98" s="119" t="str">
        <x:v>8f2ce03f928b567e3d56181ae20ae952</x:v>
      </x:c>
      <x:c r="C98" s="119" t="str">
        <x:v>SP</x:v>
      </x:c>
      <x:c r="D98" s="119" t="str">
        <x:v>pirituba</x:v>
      </x:c>
      <x:c r="E98" s="122" t="n">
        <x:v>151</x:v>
      </x:c>
      <x:c r="F98" s="123" t="n">
        <x:v>0.12582781456953643</x:v>
      </x:c>
      <x:c r="G98" s="123" t="n">
        <x:v>0.08205370246915465</x:v>
      </x:c>
      <x:c r="H98" s="123" t="n">
        <x:v>0.18816758800025635</x:v>
      </x:c>
      <x:c r="I98" s="123" t="n">
        <x:v>0.052980132450331126</x:v>
      </x:c>
      <x:c r="J98" s="124" t="n">
        <x:v>3.110088348765432</x:v>
      </x:c>
      <x:c r="K98" s="124" t="n">
        <x:v>10.793648286117243</x:v>
      </x:c>
      <x:c r="L98" s="125" t="n">
        <x:v>4.1466666666666665</x:v>
      </x:c>
    </x:row>
    <x:row r="99">
      <x:c r="B99" s="119" t="str">
        <x:v>b2479f944e1b90cf8a5de1bbfde284d6</x:v>
      </x:c>
      <x:c r="C99" s="119" t="str">
        <x:v>SP</x:v>
      </x:c>
      <x:c r="D99" s="119" t="str">
        <x:v>ibitinga</x:v>
      </x:c>
      <x:c r="E99" s="122" t="n">
        <x:v>98</x:v>
      </x:c>
      <x:c r="F99" s="123" t="n">
        <x:v>0.12244897959183673</x:v>
      </x:c>
      <x:c r="G99" s="123" t="n">
        <x:v>0.07145200242109419</x:v>
      </x:c>
      <x:c r="H99" s="123" t="n">
        <x:v>0.201928398283032</x:v>
      </x:c>
      <x:c r="I99" s="123" t="n">
        <x:v>0.12244897959183673</x:v>
      </x:c>
      <x:c r="J99" s="124" t="n">
        <x:v>2.5077757700302343</x:v>
      </x:c>
      <x:c r="K99" s="124" t="n">
        <x:v>12.756375543272863</x:v>
      </x:c>
      <x:c r="L99" s="125" t="n">
        <x:v>3.484536082474227</x:v>
      </x:c>
    </x:row>
    <x:row r="100">
      <x:c r="B100" s="119" t="str">
        <x:v>b1fc4f64df5a0e8b6913ab38803c57a9</x:v>
      </x:c>
      <x:c r="C100" s="119" t="str">
        <x:v>RJ</x:v>
      </x:c>
      <x:c r="D100" s="119" t="str">
        <x:v>sao goncalo</x:v>
      </x:c>
      <x:c r="E100" s="122" t="n">
        <x:v>99</x:v>
      </x:c>
      <x:c r="F100" s="123" t="n">
        <x:v>0.12121212121212122</x:v>
      </x:c>
      <x:c r="G100" s="123" t="n">
        <x:v>0.07071551497720938</x:v>
      </x:c>
      <x:c r="H100" s="123" t="n">
        <x:v>0.20000661537720535</x:v>
      </x:c>
      <x:c r="I100" s="123" t="n">
        <x:v>0.41414141414141414</x:v>
      </x:c>
      <x:c r="J100" s="124" t="n">
        <x:v>4.843755494762439</x:v>
      </x:c>
      <x:c r="K100" s="124" t="n">
        <x:v>11.147496960344183</x:v>
      </x:c>
      <x:c r="L100" s="125" t="n">
        <x:v>3.979381443298969</x:v>
      </x:c>
    </x:row>
    <x:row r="101">
      <x:c r="B101" s="119" t="str">
        <x:v>c31eff8334d6b3047ed34bebd4d62c36</x:v>
      </x:c>
      <x:c r="C101" s="119" t="str">
        <x:v>SP</x:v>
      </x:c>
      <x:c r="D101" s="119" t="str">
        <x:v>salto</x:v>
      </x:c>
      <x:c r="E101" s="122" t="n">
        <x:v>116</x:v>
      </x:c>
      <x:c r="F101" s="123" t="n">
        <x:v>0.1206896551724138</x:v>
      </x:c>
      <x:c r="G101" s="123" t="n">
        <x:v>0.07326996536571831</x:v>
      </x:c>
      <x:c r="H101" s="123" t="n">
        <x:v>0.19242655680642143</x:v>
      </x:c>
      <x:c r="I101" s="123" t="n">
        <x:v>0.27586206896551724</x:v>
      </x:c>
      <x:c r="J101" s="124" t="n">
        <x:v>5.0013011272141705</x:v>
      </x:c>
      <x:c r="K101" s="124" t="n">
        <x:v>7.285143877713921</x:v>
      </x:c>
      <x:c r="L101" s="125" t="n">
        <x:v>3.8956521739130436</x:v>
      </x:c>
    </x:row>
    <x:row r="102">
      <x:c r="B102" s="119" t="str">
        <x:v>7aa4334be125fcdd2ba64b3180029f14</x:v>
      </x:c>
      <x:c r="C102" s="119" t="str">
        <x:v>SP</x:v>
      </x:c>
      <x:c r="D102" s="119" t="str">
        <x:v>laranjal paulista</x:v>
      </x:c>
      <x:c r="E102" s="122" t="n">
        <x:v>211</x:v>
      </x:c>
      <x:c r="F102" s="123" t="n">
        <x:v>0.11848341232227488</x:v>
      </x:c>
      <x:c r="G102" s="123" t="n">
        <x:v>0.08155513391185207</x:v>
      </x:c>
      <x:c r="H102" s="123" t="n">
        <x:v>0.16905505611497143</x:v>
      </x:c>
      <x:c r="I102" s="123" t="n">
        <x:v>0.36492890995260663</x:v>
      </x:c>
      <x:c r="J102" s="124" t="n">
        <x:v>5.005654456292786</x:v>
      </x:c>
      <x:c r="K102" s="124" t="n">
        <x:v>10.713010246621028</x:v>
      </x:c>
      <x:c r="L102" s="125" t="n">
        <x:v>4.1380952380952385</x:v>
      </x:c>
    </x:row>
    <x:row r="103">
      <x:c r="B103" s="119" t="str">
        <x:v>7e1fb0a3ebfb01ffb3a7dae98bf3238d</x:v>
      </x:c>
      <x:c r="C103" s="119" t="str">
        <x:v>SP</x:v>
      </x:c>
      <x:c r="D103" s="119" t="str">
        <x:v>franca</x:v>
      </x:c>
      <x:c r="E103" s="122" t="n">
        <x:v>154</x:v>
      </x:c>
      <x:c r="F103" s="123" t="n">
        <x:v>0.11688311688311688</x:v>
      </x:c>
      <x:c r="G103" s="123" t="n">
        <x:v>0.07522597613265466</x:v>
      </x:c>
      <x:c r="H103" s="123" t="n">
        <x:v>0.17718843462081865</x:v>
      </x:c>
      <x:c r="I103" s="123" t="n">
        <x:v>0.012987012987012988</x:v>
      </x:c>
      <x:c r="J103" s="124" t="n">
        <x:v>1.2152314063251564</x:v>
      </x:c>
      <x:c r="K103" s="124" t="n">
        <x:v>13.976464721620971</x:v>
      </x:c>
      <x:c r="L103" s="125" t="n">
        <x:v>4.184210526315789</x:v>
      </x:c>
    </x:row>
    <x:row r="104">
      <x:c r="B104" s="119" t="str">
        <x:v>7d13fca15225358621be4086e1eb0964</x:v>
      </x:c>
      <x:c r="C104" s="119" t="str">
        <x:v>SP</x:v>
      </x:c>
      <x:c r="D104" s="119" t="str">
        <x:v>ribeirao preto</x:v>
      </x:c>
      <x:c r="E104" s="122" t="n">
        <x:v>548</x:v>
      </x:c>
      <x:c r="F104" s="123" t="n">
        <x:v>0.11678832116788321</x:v>
      </x:c>
      <x:c r="G104" s="123" t="n">
        <x:v>0.09252727680431835</x:v>
      </x:c>
      <x:c r="H104" s="123" t="n">
        <x:v>0.14638456411181044</x:v>
      </x:c>
      <x:c r="I104" s="123" t="n">
        <x:v>0.15145985401459855</x:v>
      </x:c>
      <x:c r="J104" s="124" t="n">
        <x:v>3.5444037956091528</x:v>
      </x:c>
      <x:c r="K104" s="124" t="n">
        <x:v>11.981130056265208</x:v>
      </x:c>
      <x:c r="L104" s="125" t="n">
        <x:v>4.0752293577981655</x:v>
      </x:c>
    </x:row>
    <x:row r="105">
      <x:c r="B105" s="119" t="str">
        <x:v>b33e7c55446eabf8fe1a42d037ac7d6d</x:v>
      </x:c>
      <x:c r="C105" s="119" t="str">
        <x:v>SP</x:v>
      </x:c>
      <x:c r="D105" s="119" t="str">
        <x:v>pradopolis</x:v>
      </x:c>
      <x:c r="E105" s="122" t="n">
        <x:v>146</x:v>
      </x:c>
      <x:c r="F105" s="123" t="n">
        <x:v>0.11643835616438356</x:v>
      </x:c>
      <x:c r="G105" s="123" t="n">
        <x:v>0.07398186903449244</x:v>
      </x:c>
      <x:c r="H105" s="123" t="n">
        <x:v>0.1785614465373122</x:v>
      </x:c>
      <x:c r="I105" s="123" t="n">
        <x:v>0.00684931506849315</x:v>
      </x:c>
      <x:c r="J105" s="124" t="n">
        <x:v>2.1296328671328673</x:v>
      </x:c>
      <x:c r="K105" s="124" t="n">
        <x:v>13.881214960679857</x:v>
      </x:c>
      <x:c r="L105" s="125" t="n">
        <x:v>4.219178082191781</x:v>
      </x:c>
    </x:row>
    <x:row r="106">
      <x:c r="B106" s="119" t="str">
        <x:v>1835b56ce799e6a4dc4eddc053f04066</x:v>
      </x:c>
      <x:c r="C106" s="119" t="str">
        <x:v>SP</x:v>
      </x:c>
      <x:c r="D106" s="119" t="str">
        <x:v>ibitinga</x:v>
      </x:c>
      <x:c r="E106" s="122" t="n">
        <x:v>375</x:v>
      </x:c>
      <x:c r="F106" s="123" t="n">
        <x:v>0.11466666666666667</x:v>
      </x:c>
      <x:c r="G106" s="123" t="n">
        <x:v>0.08625270038271887</x:v>
      </x:c>
      <x:c r="H106" s="123" t="n">
        <x:v>0.15089520602742973</x:v>
      </x:c>
      <x:c r="I106" s="123" t="n">
        <x:v>0.02666666666666667</x:v>
      </x:c>
      <x:c r="J106" s="124" t="n">
        <x:v>1.705619212962963</x:v>
      </x:c>
      <x:c r="K106" s="124" t="n">
        <x:v>11.573026419753088</x:v>
      </x:c>
      <x:c r="L106" s="125" t="n">
        <x:v>3.7661290322580645</x:v>
      </x:c>
    </x:row>
    <x:row r="107">
      <x:c r="B107" s="119" t="str">
        <x:v>59b22a78efb79a4797979612b885db36</x:v>
      </x:c>
      <x:c r="C107" s="119" t="str">
        <x:v>MG</x:v>
      </x:c>
      <x:c r="D107" s="119" t="str">
        <x:v>uberlandia</x:v>
      </x:c>
      <x:c r="E107" s="122" t="n">
        <x:v>123</x:v>
      </x:c>
      <x:c r="F107" s="123" t="n">
        <x:v>0.11382113821138211</x:v>
      </x:c>
      <x:c r="G107" s="123" t="n">
        <x:v>0.06902284440685469</x:v>
      </x:c>
      <x:c r="H107" s="123" t="n">
        <x:v>0.18201068293301853</x:v>
      </x:c>
      <x:c r="I107" s="123" t="n">
        <x:v>0.04878048780487805</x:v>
      </x:c>
      <x:c r="J107" s="124" t="n">
        <x:v>1.7806070066915656</x:v>
      </x:c>
      <x:c r="K107" s="124" t="n">
        <x:v>10.570967611412225</x:v>
      </x:c>
      <x:c r="L107" s="125" t="n">
        <x:v>4</x:v>
      </x:c>
    </x:row>
    <x:row r="108">
      <x:c r="B108" s="119" t="str">
        <x:v>2eb70248d66e0e3ef83659f71b244378</x:v>
      </x:c>
      <x:c r="C108" s="119" t="str">
        <x:v>SP</x:v>
      </x:c>
      <x:c r="D108" s="119" t="str">
        <x:v>campinas</x:v>
      </x:c>
      <x:c r="E108" s="122" t="n">
        <x:v>185</x:v>
      </x:c>
      <x:c r="F108" s="123" t="n">
        <x:v>0.11351351351351352</x:v>
      </x:c>
      <x:c r="G108" s="123" t="n">
        <x:v>0.07545368763448693</x:v>
      </x:c>
      <x:c r="H108" s="123" t="n">
        <x:v>0.16729734334659027</x:v>
      </x:c>
      <x:c r="I108" s="123" t="n">
        <x:v>0.32432432432432434</x:v>
      </x:c>
      <x:c r="J108" s="124" t="n">
        <x:v>10.879053741241242</x:v>
      </x:c>
      <x:c r="K108" s="124" t="n">
        <x:v>6.9009263638638645</x:v>
      </x:c>
      <x:c r="L108" s="125" t="n">
        <x:v>2.7774725274725274</x:v>
      </x:c>
    </x:row>
    <x:row r="109">
      <x:c r="B109" s="119" t="str">
        <x:v>c3867b4666c7d76867627c2f7fb22e21</x:v>
      </x:c>
      <x:c r="C109" s="119" t="str">
        <x:v>SP</x:v>
      </x:c>
      <x:c r="D109" s="119" t="str">
        <x:v>guara</x:v>
      </x:c>
      <x:c r="E109" s="122" t="n">
        <x:v>221</x:v>
      </x:c>
      <x:c r="F109" s="123" t="n">
        <x:v>0.11312217194570136</x:v>
      </x:c>
      <x:c r="G109" s="123" t="n">
        <x:v>0.07780626782099087</x:v>
      </x:c>
      <x:c r="H109" s="123" t="n">
        <x:v>0.16165783770072004</x:v>
      </x:c>
      <x:c r="I109" s="123" t="n">
        <x:v>0.04524886877828054</x:v>
      </x:c>
      <x:c r="J109" s="124" t="n">
        <x:v>2.5994665975364506</x:v>
      </x:c>
      <x:c r="K109" s="124" t="n">
        <x:v>12.762840780542986</x:v>
      </x:c>
      <x:c r="L109" s="125" t="n">
        <x:v>4.1</x:v>
      </x:c>
    </x:row>
    <x:row r="110">
      <x:c r="B110" s="119" t="str">
        <x:v>0dd184061fb0eaa7ca37932c68ab91c5</x:v>
      </x:c>
      <x:c r="C110" s="119" t="str">
        <x:v>SP</x:v>
      </x:c>
      <x:c r="D110" s="119" t="str">
        <x:v>guarulhos</x:v>
      </x:c>
      <x:c r="E110" s="122" t="n">
        <x:v>156</x:v>
      </x:c>
      <x:c r="F110" s="123" t="n">
        <x:v>0.10897435897435898</x:v>
      </x:c>
      <x:c r="G110" s="123" t="n">
        <x:v>0.06915919829493856</x:v>
      </x:c>
      <x:c r="H110" s="123" t="n">
        <x:v>0.16758450449586026</x:v>
      </x:c>
      <x:c r="I110" s="123" t="n">
        <x:v>0.09615384615384616</x:v>
      </x:c>
      <x:c r="J110" s="124" t="n">
        <x:v>2.6995886221486387</x:v>
      </x:c>
      <x:c r="K110" s="124" t="n">
        <x:v>8.964155982905982</x:v>
      </x:c>
      <x:c r="L110" s="125" t="n">
        <x:v>4.064516129032258</x:v>
      </x:c>
    </x:row>
    <x:row r="111">
      <x:c r="B111" s="119" t="str">
        <x:v>a416b6a846a11724393025641d4edd5e</x:v>
      </x:c>
      <x:c r="C111" s="119" t="str">
        <x:v>SP</x:v>
      </x:c>
      <x:c r="D111" s="119" t="str">
        <x:v>sao paulo</x:v>
      </x:c>
      <x:c r="E111" s="122" t="n">
        <x:v>157</x:v>
      </x:c>
      <x:c r="F111" s="123" t="n">
        <x:v>0.10828025477707007</x:v>
      </x:c>
      <x:c r="G111" s="123" t="n">
        <x:v>0.06871130462116902</x:v>
      </x:c>
      <x:c r="H111" s="123" t="n">
        <x:v>0.16656049096034048</x:v>
      </x:c>
      <x:c r="I111" s="123" t="n">
        <x:v>0.12101910828025478</x:v>
      </x:c>
      <x:c r="J111" s="124" t="n">
        <x:v>3.012266353046595</x:v>
      </x:c>
      <x:c r="K111" s="124" t="n">
        <x:v>9.220809595423448</x:v>
      </x:c>
      <x:c r="L111" s="125" t="n">
        <x:v>4.2165605095541405</x:v>
      </x:c>
    </x:row>
    <x:row r="112">
      <x:c r="B112" s="119" t="str">
        <x:v>897060da8b9a21f655304d50fd935913</x:v>
      </x:c>
      <x:c r="C112" s="119" t="str">
        <x:v>SP</x:v>
      </x:c>
      <x:c r="D112" s="119" t="str">
        <x:v>ribeirao preto</x:v>
      </x:c>
      <x:c r="E112" s="122" t="n">
        <x:v>298</x:v>
      </x:c>
      <x:c r="F112" s="123" t="n">
        <x:v>0.10738255033557047</x:v>
      </x:c>
      <x:c r="G112" s="123" t="n">
        <x:v>0.07709692568432622</x:v>
      </x:c>
      <x:c r="H112" s="123" t="n">
        <x:v>0.1476616581290215</x:v>
      </x:c>
      <x:c r="I112" s="123" t="n">
        <x:v>0.06711409395973154</x:v>
      </x:c>
      <x:c r="J112" s="124" t="n">
        <x:v>2.779871238425926</x:v>
      </x:c>
      <x:c r="K112" s="124" t="n">
        <x:v>11.788465386527468</x:v>
      </x:c>
      <x:c r="L112" s="125" t="n">
        <x:v>3.7355932203389832</x:v>
      </x:c>
    </x:row>
    <x:row r="113">
      <x:c r="B113" s="119" t="str">
        <x:v>4869f7a5dfa277a7dca6462dcf3b52b2</x:v>
      </x:c>
      <x:c r="C113" s="119" t="str">
        <x:v>SP</x:v>
      </x:c>
      <x:c r="D113" s="119" t="str">
        <x:v>guariba</x:v>
      </x:c>
      <x:c r="E113" s="122" t="n">
        <x:v>1111</x:v>
      </x:c>
      <x:c r="F113" s="123" t="n">
        <x:v>0.10621062106210621</x:v>
      </x:c>
      <x:c r="G113" s="123" t="n">
        <x:v>0.08943066561921376</x:v>
      </x:c>
      <x:c r="H113" s="123" t="n">
        <x:v>0.12570437167515106</x:v>
      </x:c>
      <x:c r="I113" s="123" t="n">
        <x:v>0.0558055805580558</x:v>
      </x:c>
      <x:c r="J113" s="124" t="n">
        <x:v>2.388957617194082</x:v>
      </x:c>
      <x:c r="K113" s="124" t="n">
        <x:v>12.36482263851385</x:v>
      </x:c>
      <x:c r="L113" s="125" t="n">
        <x:v>4.1776971894832275</x:v>
      </x:c>
    </x:row>
    <x:row r="114">
      <x:c r="B114" s="119" t="str">
        <x:v>4a3ca9315b744ce9f8e9374361493884</x:v>
      </x:c>
      <x:c r="C114" s="119" t="str">
        <x:v>SP</x:v>
      </x:c>
      <x:c r="D114" s="119" t="str">
        <x:v>ibitinga</x:v>
      </x:c>
      <x:c r="E114" s="122" t="n">
        <x:v>1673</x:v>
      </x:c>
      <x:c r="F114" s="123" t="n">
        <x:v>0.100418410041841</x:v>
      </x:c>
      <x:c r="G114" s="123" t="n">
        <x:v>0.08691907711306754</x:v>
      </x:c>
      <x:c r="H114" s="123" t="n">
        <x:v>0.11574853766531543</x:v>
      </x:c>
      <x:c r="I114" s="123" t="n">
        <x:v>0.09025702331141662</x:v>
      </x:c>
      <x:c r="J114" s="124" t="n">
        <x:v>2.3999628554595005</x:v>
      </x:c>
      <x:c r="K114" s="124" t="n">
        <x:v>11.888020660379446</x:v>
      </x:c>
      <x:c r="L114" s="125" t="n">
        <x:v>3.909365558912387</x:v>
      </x:c>
    </x:row>
    <x:row r="115">
      <x:c r="B115" s="119" t="str">
        <x:v>77530e9772f57a62c906e1c21538ab82</x:v>
      </x:c>
      <x:c r="C115" s="119" t="str">
        <x:v>PR</x:v>
      </x:c>
      <x:c r="D115" s="119" t="str">
        <x:v>curitiba</x:v>
      </x:c>
      <x:c r="E115" s="122" t="n">
        <x:v>297</x:v>
      </x:c>
      <x:c r="F115" s="123" t="n">
        <x:v>0.09764309764309764</x:v>
      </x:c>
      <x:c r="G115" s="123" t="n">
        <x:v>0.0688475964330916</x:v>
      </x:c>
      <x:c r="H115" s="123" t="n">
        <x:v>0.13671402749704806</x:v>
      </x:c>
      <x:c r="I115" s="123" t="n">
        <x:v>0.016835016835016835</x:v>
      </x:c>
      <x:c r="J115" s="124" t="n">
        <x:v>2.011215914152985</x:v>
      </x:c>
      <x:c r="K115" s="124" t="n">
        <x:v>12.783974038221723</x:v>
      </x:c>
      <x:c r="L115" s="125" t="n">
        <x:v>4.2087542087542085</x:v>
      </x:c>
    </x:row>
    <x:row r="116">
      <x:c r="B116" s="119" t="str">
        <x:v>fa1c13f2614d7b5c4749cbc52fecda94</x:v>
      </x:c>
      <x:c r="C116" s="119" t="str">
        <x:v>SP</x:v>
      </x:c>
      <x:c r="D116" s="119" t="str">
        <x:v>sumare</x:v>
      </x:c>
      <x:c r="E116" s="122" t="n">
        <x:v>566</x:v>
      </x:c>
      <x:c r="F116" s="123" t="n">
        <x:v>0.09363957597173145</x:v>
      </x:c>
      <x:c r="G116" s="123" t="n">
        <x:v>0.07230315638473676</x:v>
      </x:c>
      <x:c r="H116" s="123" t="n">
        <x:v>0.12045477149228133</x:v>
      </x:c>
      <x:c r="I116" s="123" t="n">
        <x:v>0.0812720848056537</x:v>
      </x:c>
      <x:c r="J116" s="124" t="n">
        <x:v>2.3852509844141294</x:v>
      </x:c>
      <x:c r="K116" s="124" t="n">
        <x:v>10.727901002813768</x:v>
      </x:c>
      <x:c r="L116" s="125" t="n">
        <x:v>4.387900355871886</x:v>
      </x:c>
    </x:row>
    <x:row r="117">
      <x:c r="B117" s="119" t="str">
        <x:v>7c67e1448b00f6e969d365cea6b010ab</x:v>
      </x:c>
      <x:c r="C117" s="119" t="str">
        <x:v>SP</x:v>
      </x:c>
      <x:c r="D117" s="119" t="str">
        <x:v>itaquaquecetuba</x:v>
      </x:c>
      <x:c r="E117" s="122" t="n">
        <x:v>963</x:v>
      </x:c>
      <x:c r="F117" s="123" t="n">
        <x:v>0.09241952232606439</x:v>
      </x:c>
      <x:c r="G117" s="123" t="n">
        <x:v>0.07571168861585237</x:v>
      </x:c>
      <x:c r="H117" s="123" t="n">
        <x:v>0.11236615720025017</x:v>
      </x:c>
      <x:c r="I117" s="123" t="n">
        <x:v>0.29906542056074764</x:v>
      </x:c>
      <x:c r="J117" s="124" t="n">
        <x:v>11.44704644773278</x:v>
      </x:c>
      <x:c r="K117" s="124" t="n">
        <x:v>10.515206157936234</x:v>
      </x:c>
      <x:c r="L117" s="125" t="n">
        <x:v>3.508359456635319</x:v>
      </x:c>
    </x:row>
    <x:row r="118">
      <x:c r="B118" s="119" t="str">
        <x:v>1f50f920176fa81dab994f9023523100</x:v>
      </x:c>
      <x:c r="C118" s="119" t="str">
        <x:v>SP</x:v>
      </x:c>
      <x:c r="D118" s="119" t="str">
        <x:v>sao jose do rio preto</x:v>
      </x:c>
      <x:c r="E118" s="122" t="n">
        <x:v>1364</x:v>
      </x:c>
      <x:c r="F118" s="123" t="n">
        <x:v>0.09090909090909091</x:v>
      </x:c>
      <x:c r="G118" s="123" t="n">
        <x:v>0.07677989972031182</x:v>
      </x:c>
      <x:c r="H118" s="123" t="n">
        <x:v>0.1073360716129618</x:v>
      </x:c>
      <x:c r="I118" s="123" t="n">
        <x:v>0.1092375366568915</x:v>
      </x:c>
      <x:c r="J118" s="124" t="n">
        <x:v>3.491168665669726</x:v>
      </x:c>
      <x:c r="K118" s="124" t="n">
        <x:v>11.905890974598131</x:v>
      </x:c>
      <x:c r="L118" s="125" t="n">
        <x:v>4.181751287711553</x:v>
      </x:c>
    </x:row>
    <x:row r="119">
      <x:c r="B119" s="119" t="str">
        <x:v>620c87c171fb2a6dd6e8bb4dec959fc6</x:v>
      </x:c>
      <x:c r="C119" s="119" t="str">
        <x:v>RJ</x:v>
      </x:c>
      <x:c r="D119" s="119" t="str">
        <x:v>petropolis</x:v>
      </x:c>
      <x:c r="E119" s="122" t="n">
        <x:v>717</x:v>
      </x:c>
      <x:c r="F119" s="123" t="n">
        <x:v>0.08786610878661087</x:v>
      </x:c>
      <x:c r="G119" s="123" t="n">
        <x:v>0.06927948601102175</x:v>
      </x:c>
      <x:c r="H119" s="123" t="n">
        <x:v>0.11084536284702866</x:v>
      </x:c>
      <x:c r="I119" s="123" t="n">
        <x:v>0.07531380753138076</x:v>
      </x:c>
      <x:c r="J119" s="124" t="n">
        <x:v>2.401792420932168</x:v>
      </x:c>
      <x:c r="K119" s="124" t="n">
        <x:v>10.235387836406838</x:v>
      </x:c>
      <x:c r="L119" s="125" t="n">
        <x:v>4.317862165963432</x:v>
      </x:c>
    </x:row>
    <x:row r="120">
      <x:c r="B120" s="119" t="str">
        <x:v>8b321bb669392f5163d04c59e235e066</x:v>
      </x:c>
      <x:c r="C120" s="119" t="str">
        <x:v>SP</x:v>
      </x:c>
      <x:c r="D120" s="119" t="str">
        <x:v>sao paulo</x:v>
      </x:c>
      <x:c r="E120" s="122" t="n">
        <x:v>917</x:v>
      </x:c>
      <x:c r="F120" s="123" t="n">
        <x:v>0.08724100327153762</x:v>
      </x:c>
      <x:c r="G120" s="123" t="n">
        <x:v>0.07065563359419463</x:v>
      </x:c>
      <x:c r="H120" s="123" t="n">
        <x:v>0.10727017247292475</x:v>
      </x:c>
      <x:c r="I120" s="123" t="n">
        <x:v>0.04798255179934569</x:v>
      </x:c>
      <x:c r="J120" s="124" t="n">
        <x:v>2.0510946004706363</x:v>
      </x:c>
      <x:c r="K120" s="124" t="n">
        <x:v>10.268894114261482</x:v>
      </x:c>
      <x:c r="L120" s="125" t="n">
        <x:v>4.122672508214677</x:v>
      </x:c>
    </x:row>
    <x:row r="121">
      <x:c r="B121" s="119" t="str">
        <x:v>ea8482cd71df3c1969d7b9473ff13abc</x:v>
      </x:c>
      <x:c r="C121" s="119" t="str">
        <x:v>SP</x:v>
      </x:c>
      <x:c r="D121" s="119" t="str">
        <x:v>sao paulo</x:v>
      </x:c>
      <x:c r="E121" s="122" t="n">
        <x:v>1116</x:v>
      </x:c>
      <x:c r="F121" s="123" t="n">
        <x:v>0.08602150537634409</x:v>
      </x:c>
      <x:c r="G121" s="123" t="n">
        <x:v>0.07095773769089268</x:v>
      </x:c>
      <x:c r="H121" s="123" t="n">
        <x:v>0.1039254632105411</x:v>
      </x:c>
      <x:c r="I121" s="123" t="n">
        <x:v>0.07795698924731183</x:v>
      </x:c>
      <x:c r="J121" s="124" t="n">
        <x:v>2.9745532978705396</x:v>
      </x:c>
      <x:c r="K121" s="124" t="n">
        <x:v>9.978271999037569</x:v>
      </x:c>
      <x:c r="L121" s="125" t="n">
        <x:v>4.054054054054054</x:v>
      </x:c>
    </x:row>
    <x:row r="124">
      <x:c r="B124" s="91" t="str">
        <x:v>LANES FOR REVIEW</x:v>
      </x:c>
      <x:c r="C124" s="92"/>
      <x:c r="D124" s="92"/>
      <x:c r="E124" s="92"/>
      <x:c r="F124" s="92"/>
      <x:c r="G124" s="92"/>
      <x:c r="H124" s="93"/>
    </x:row>
    <x:row r="125">
      <x:c r="B125" t="str">
        <x:v>Seller-state to customer-state proxies with at least 30 eligible deliveries, sorted by late-delivery rate.</x:v>
      </x:c>
    </x:row>
    <x:row r="126">
      <x:c r="B126" s="116" t="str">
        <x:v>Lane proxy</x:v>
      </x:c>
      <x:c r="C126" s="117" t="str">
        <x:v>Seller state</x:v>
      </x:c>
      <x:c r="D126" s="117" t="str">
        <x:v>Customer state</x:v>
      </x:c>
      <x:c r="E126" s="117" t="str">
        <x:v>Delivered orders</x:v>
      </x:c>
      <x:c r="F126" s="117" t="str">
        <x:v>Late delivery</x:v>
      </x:c>
      <x:c r="G126" s="117" t="str">
        <x:v>Carrier to delivery days</x:v>
      </x:c>
      <x:c r="H126" s="118" t="str">
        <x:v>Review score</x:v>
      </x:c>
    </x:row>
    <x:row r="127">
      <x:c r="B127" s="119" t="str">
        <x:v>PR → AL</x:v>
      </x:c>
      <x:c r="C127" s="119" t="str">
        <x:v>PR</x:v>
      </x:c>
      <x:c r="D127" s="119" t="str">
        <x:v>AL</x:v>
      </x:c>
      <x:c r="E127" s="122" t="n">
        <x:v>35</x:v>
      </x:c>
      <x:c r="F127" s="123" t="n">
        <x:v>0.3142857142857143</x:v>
      </x:c>
      <x:c r="G127" s="124" t="n">
        <x:v>25.64673082010582</x:v>
      </x:c>
      <x:c r="H127" s="125" t="n">
        <x:v>3.5428571428571427</x:v>
      </x:c>
    </x:row>
    <x:row r="128">
      <x:c r="B128" s="119" t="str">
        <x:v>SP → AL</x:v>
      </x:c>
      <x:c r="C128" s="119" t="str">
        <x:v>SP</x:v>
      </x:c>
      <x:c r="D128" s="119" t="str">
        <x:v>AL</x:v>
      </x:c>
      <x:c r="E128" s="122" t="n">
        <x:v>254</x:v>
      </x:c>
      <x:c r="F128" s="123" t="n">
        <x:v>0.24015748031496062</x:v>
      </x:c>
      <x:c r="G128" s="124" t="n">
        <x:v>21.774578548775153</x:v>
      </x:c>
      <x:c r="H128" s="125" t="n">
        <x:v>3.7142857142857144</x:v>
      </x:c>
    </x:row>
    <x:row r="129">
      <x:c r="B129" s="119" t="str">
        <x:v>RJ → CE</x:v>
      </x:c>
      <x:c r="C129" s="119" t="str">
        <x:v>RJ</x:v>
      </x:c>
      <x:c r="D129" s="119" t="str">
        <x:v>CE</x:v>
      </x:c>
      <x:c r="E129" s="122" t="n">
        <x:v>54</x:v>
      </x:c>
      <x:c r="F129" s="123" t="n">
        <x:v>0.2037037037037037</x:v>
      </x:c>
      <x:c r="G129" s="124" t="n">
        <x:v>21.534854038065845</x:v>
      </x:c>
      <x:c r="H129" s="125" t="n">
        <x:v>3.6481481481481484</x:v>
      </x:c>
    </x:row>
    <x:row r="130">
      <x:c r="B130" s="119" t="str">
        <x:v>MA → SP</x:v>
      </x:c>
      <x:c r="C130" s="119" t="str">
        <x:v>MA</x:v>
      </x:c>
      <x:c r="D130" s="119" t="str">
        <x:v>SP</x:v>
      </x:c>
      <x:c r="E130" s="122" t="n">
        <x:v>123</x:v>
      </x:c>
      <x:c r="F130" s="123" t="n">
        <x:v>0.2032520325203252</x:v>
      </x:c>
      <x:c r="G130" s="124" t="n">
        <x:v>10.825950485546523</x:v>
      </x:c>
      <x:c r="H130" s="125" t="n">
        <x:v>3.9262295081967213</x:v>
      </x:c>
    </x:row>
    <x:row r="131">
      <x:c r="B131" s="119" t="str">
        <x:v>SP → MA</x:v>
      </x:c>
      <x:c r="C131" s="119" t="str">
        <x:v>SP</x:v>
      </x:c>
      <x:c r="D131" s="119" t="str">
        <x:v>MA</x:v>
      </x:c>
      <x:c r="E131" s="122" t="n">
        <x:v>486</x:v>
      </x:c>
      <x:c r="F131" s="123" t="n">
        <x:v>0.19135802469135801</x:v>
      </x:c>
      <x:c r="G131" s="124" t="n">
        <x:v>18.581455689871973</x:v>
      </x:c>
      <x:c r="H131" s="125" t="n">
        <x:v>3.720954356846473</x:v>
      </x:c>
    </x:row>
    <x:row r="132">
      <x:c r="B132" s="119" t="str">
        <x:v>PR → MA</x:v>
      </x:c>
      <x:c r="C132" s="119" t="str">
        <x:v>PR</x:v>
      </x:c>
      <x:c r="D132" s="119" t="str">
        <x:v>MA</x:v>
      </x:c>
      <x:c r="E132" s="122" t="n">
        <x:v>40</x:v>
      </x:c>
      <x:c r="F132" s="123" t="n">
        <x:v>0.175</x:v>
      </x:c>
      <x:c r="G132" s="124" t="n">
        <x:v>18.118152199074075</x:v>
      </x:c>
      <x:c r="H132" s="125" t="n">
        <x:v>3.875</x:v>
      </x:c>
    </x:row>
    <x:row r="133">
      <x:c r="B133" s="119" t="str">
        <x:v>MG → AL</x:v>
      </x:c>
      <x:c r="C133" s="119" t="str">
        <x:v>MG</x:v>
      </x:c>
      <x:c r="D133" s="119" t="str">
        <x:v>AL</x:v>
      </x:c>
      <x:c r="E133" s="122" t="n">
        <x:v>35</x:v>
      </x:c>
      <x:c r="F133" s="123" t="n">
        <x:v>0.17142857142857143</x:v>
      </x:c>
      <x:c r="G133" s="124" t="n">
        <x:v>18.662001322751323</x:v>
      </x:c>
      <x:c r="H133" s="125" t="n">
        <x:v>4.147058823529412</x:v>
      </x:c>
    </x:row>
    <x:row r="134">
      <x:c r="B134" s="119" t="str">
        <x:v>SP → SE</x:v>
      </x:c>
      <x:c r="C134" s="119" t="str">
        <x:v>SP</x:v>
      </x:c>
      <x:c r="D134" s="119" t="str">
        <x:v>SE</x:v>
      </x:c>
      <x:c r="E134" s="122" t="n">
        <x:v>205</x:v>
      </x:c>
      <x:c r="F134" s="123" t="n">
        <x:v>0.16585365853658537</x:v>
      </x:c>
      <x:c r="G134" s="124" t="n">
        <x:v>17.848156729900634</x:v>
      </x:c>
      <x:c r="H134" s="125" t="n">
        <x:v>3.8390243902439023</x:v>
      </x:c>
    </x:row>
    <x:row r="135">
      <x:c r="B135" s="119" t="str">
        <x:v>SP → PI</x:v>
      </x:c>
      <x:c r="C135" s="119" t="str">
        <x:v>SP</x:v>
      </x:c>
      <x:c r="D135" s="119" t="str">
        <x:v>PI</x:v>
      </x:c>
      <x:c r="E135" s="122" t="n">
        <x:v>327</x:v>
      </x:c>
      <x:c r="F135" s="123" t="n">
        <x:v>0.1651376146788991</x:v>
      </x:c>
      <x:c r="G135" s="124" t="n">
        <x:v>16.97778524606411</x:v>
      </x:c>
      <x:c r="H135" s="125" t="n">
        <x:v>3.9690402476780187</x:v>
      </x:c>
    </x:row>
    <x:row r="136">
      <x:c r="B136" s="119" t="str">
        <x:v>SP → RR</x:v>
      </x:c>
      <x:c r="C136" s="119" t="str">
        <x:v>SP</x:v>
      </x:c>
      <x:c r="D136" s="119" t="str">
        <x:v>RR</x:v>
      </x:c>
      <x:c r="E136" s="122" t="n">
        <x:v>33</x:v>
      </x:c>
      <x:c r="F136" s="123" t="n">
        <x:v>0.15151515151515152</x:v>
      </x:c>
      <x:c r="G136" s="124" t="n">
        <x:v>27.48308782267116</x:v>
      </x:c>
      <x:c r="H136" s="125" t="n">
        <x:v>3.757575757575758</x:v>
      </x:c>
    </x:row>
    <x:row r="137">
      <x:c r="B137" s="119" t="str">
        <x:v>MG → MA</x:v>
      </x:c>
      <x:c r="C137" s="119" t="str">
        <x:v>MG</x:v>
      </x:c>
      <x:c r="D137" s="119" t="str">
        <x:v>MA</x:v>
      </x:c>
      <x:c r="E137" s="122" t="n">
        <x:v>60</x:v>
      </x:c>
      <x:c r="F137" s="123" t="n">
        <x:v>0.15</x:v>
      </x:c>
      <x:c r="G137" s="124" t="n">
        <x:v>16.669783179012345</x:v>
      </x:c>
      <x:c r="H137" s="125" t="n">
        <x:v>4.372881355932203</x:v>
      </x:c>
    </x:row>
    <x:row r="138">
      <x:c r="B138" s="119" t="str">
        <x:v>PR → BA</x:v>
      </x:c>
      <x:c r="C138" s="119" t="str">
        <x:v>PR</x:v>
      </x:c>
      <x:c r="D138" s="119" t="str">
        <x:v>BA</x:v>
      </x:c>
      <x:c r="E138" s="122" t="n">
        <x:v>143</x:v>
      </x:c>
      <x:c r="F138" s="123" t="n">
        <x:v>0.14685314685314685</x:v>
      </x:c>
      <x:c r="G138" s="124" t="n">
        <x:v>17.763000922688423</x:v>
      </x:c>
      <x:c r="H138" s="125" t="n">
        <x:v>3.8226950354609928</x:v>
      </x:c>
    </x:row>
    <x:row r="139">
      <x:c r="B139" s="119" t="str">
        <x:v>PR → CE</x:v>
      </x:c>
      <x:c r="C139" s="119" t="str">
        <x:v>PR</x:v>
      </x:c>
      <x:c r="D139" s="119" t="str">
        <x:v>CE</x:v>
      </x:c>
      <x:c r="E139" s="122" t="n">
        <x:v>63</x:v>
      </x:c>
      <x:c r="F139" s="123" t="n">
        <x:v>0.14285714285714285</x:v>
      </x:c>
      <x:c r="G139" s="124" t="n">
        <x:v>22.480376984126984</x:v>
      </x:c>
      <x:c r="H139" s="125" t="n">
        <x:v>3.5</x:v>
      </x:c>
    </x:row>
    <x:row r="140">
      <x:c r="B140" s="119" t="str">
        <x:v>RS → BA</x:v>
      </x:c>
      <x:c r="C140" s="119" t="str">
        <x:v>RS</x:v>
      </x:c>
      <x:c r="D140" s="119" t="str">
        <x:v>BA</x:v>
      </x:c>
      <x:c r="E140" s="122" t="n">
        <x:v>42</x:v>
      </x:c>
      <x:c r="F140" s="123" t="n">
        <x:v>0.14285714285714285</x:v>
      </x:c>
      <x:c r="G140" s="124" t="n">
        <x:v>17.30822558421517</x:v>
      </x:c>
      <x:c r="H140" s="125" t="n">
        <x:v>4.073170731707317</x:v>
      </x:c>
    </x:row>
    <x:row r="141">
      <x:c r="B141" s="119" t="str">
        <x:v>SP → RJ</x:v>
      </x:c>
      <x:c r="C141" s="119" t="str">
        <x:v>SP</x:v>
      </x:c>
      <x:c r="D141" s="119" t="str">
        <x:v>RJ</x:v>
      </x:c>
      <x:c r="E141" s="122" t="n">
        <x:v>8048</x:v>
      </x:c>
      <x:c r="F141" s="123" t="n">
        <x:v>0.14251988071570576</x:v>
      </x:c>
      <x:c r="G141" s="124" t="n">
        <x:v>12.934095640278699</x:v>
      </x:c>
      <x:c r="H141" s="125" t="n">
        <x:v>3.9036101687816727</x:v>
      </x:c>
    </x:row>
    <x:row r="142">
      <x:c r="B142" s="119" t="str">
        <x:v>SP → CE</x:v>
      </x:c>
      <x:c r="C142" s="119" t="str">
        <x:v>SP</x:v>
      </x:c>
      <x:c r="D142" s="119" t="str">
        <x:v>CE</x:v>
      </x:c>
      <x:c r="E142" s="122" t="n">
        <x:v>961</x:v>
      </x:c>
      <x:c r="F142" s="123" t="n">
        <x:v>0.1383975026014568</x:v>
      </x:c>
      <x:c r="G142" s="124" t="n">
        <x:v>17.98764440494084</x:v>
      </x:c>
      <x:c r="H142" s="125" t="n">
        <x:v>3.9728033472803346</x:v>
      </x:c>
    </x:row>
    <x:row r="143">
      <x:c r="B143" s="119" t="str">
        <x:v>SP → BA</x:v>
      </x:c>
      <x:c r="C143" s="119" t="str">
        <x:v>SP</x:v>
      </x:c>
      <x:c r="D143" s="119" t="str">
        <x:v>BA</x:v>
      </x:c>
      <x:c r="E143" s="122" t="n">
        <x:v>2278</x:v>
      </x:c>
      <x:c r="F143" s="123" t="n">
        <x:v>0.13037752414398596</x:v>
      </x:c>
      <x:c r="G143" s="124" t="n">
        <x:v>16.570076196834453</x:v>
      </x:c>
      <x:c r="H143" s="125" t="n">
        <x:v>3.8895271763146266</x:v>
      </x:c>
    </x:row>
    <x:row r="144">
      <x:c r="B144" s="119" t="str">
        <x:v>MA → MG</x:v>
      </x:c>
      <x:c r="C144" s="119" t="str">
        <x:v>MA</x:v>
      </x:c>
      <x:c r="D144" s="119" t="str">
        <x:v>MG</x:v>
      </x:c>
      <x:c r="E144" s="122" t="n">
        <x:v>31</x:v>
      </x:c>
      <x:c r="F144" s="123" t="n">
        <x:v>0.12903225806451613</x:v>
      </x:c>
      <x:c r="G144" s="124" t="n">
        <x:v>13.202214755077659</x:v>
      </x:c>
      <x:c r="H144" s="125" t="n">
        <x:v>4.258064516129032</x:v>
      </x:c>
    </x:row>
    <x:row r="145">
      <x:c r="B145" s="119" t="str">
        <x:v>SP → MS</x:v>
      </x:c>
      <x:c r="C145" s="119" t="str">
        <x:v>SP</x:v>
      </x:c>
      <x:c r="D145" s="119" t="str">
        <x:v>MS</x:v>
      </x:c>
      <x:c r="E145" s="122" t="n">
        <x:v>471</x:v>
      </x:c>
      <x:c r="F145" s="123" t="n">
        <x:v>0.12526539278131635</x:v>
      </x:c>
      <x:c r="G145" s="124" t="n">
        <x:v>12.8026973735944</x:v>
      </x:c>
      <x:c r="H145" s="125" t="n">
        <x:v>4.09660297239915</x:v>
      </x:c>
    </x:row>
    <x:row r="146">
      <x:c r="B146" s="119" t="str">
        <x:v>MG → PB</x:v>
      </x:c>
      <x:c r="C146" s="119" t="str">
        <x:v>MG</x:v>
      </x:c>
      <x:c r="D146" s="119" t="str">
        <x:v>PB</x:v>
      </x:c>
      <x:c r="E146" s="122" t="n">
        <x:v>48</x:v>
      </x:c>
      <x:c r="F146" s="123" t="n">
        <x:v>0.125</x:v>
      </x:c>
      <x:c r="G146" s="124" t="n">
        <x:v>16.081279176311728</x:v>
      </x:c>
      <x:c r="H146" s="125" t="n">
        <x:v>4.148936170212766</x:v>
      </x:c>
    </x:row>
    <x:row r="147">
      <x:c r="B147" s="119" t="str">
        <x:v>PR → PB</x:v>
      </x:c>
      <x:c r="C147" s="119" t="str">
        <x:v>PR</x:v>
      </x:c>
      <x:c r="D147" s="119" t="str">
        <x:v>PB</x:v>
      </x:c>
      <x:c r="E147" s="122" t="n">
        <x:v>40</x:v>
      </x:c>
      <x:c r="F147" s="123" t="n">
        <x:v>0.125</x:v>
      </x:c>
      <x:c r="G147" s="124" t="n">
        <x:v>18.506712673611112</x:v>
      </x:c>
      <x:c r="H147" s="125" t="n">
        <x:v>4.025</x:v>
      </x:c>
    </x:row>
    <x:row r="148">
      <x:c r="B148" s="119" t="str">
        <x:v>SP → ES</x:v>
      </x:c>
      <x:c r="C148" s="119" t="str">
        <x:v>SP</x:v>
      </x:c>
      <x:c r="D148" s="119" t="str">
        <x:v>ES</x:v>
      </x:c>
      <x:c r="E148" s="122" t="n">
        <x:v>1444</x:v>
      </x:c>
      <x:c r="F148" s="123" t="n">
        <x:v>0.12465373961218837</x:v>
      </x:c>
      <x:c r="G148" s="124" t="n">
        <x:v>12.489839638157894</x:v>
      </x:c>
      <x:c r="H148" s="125" t="n">
        <x:v>4.06013986013986</x:v>
      </x:c>
    </x:row>
    <x:row r="149">
      <x:c r="B149" s="119" t="str">
        <x:v>MG → CE</x:v>
      </x:c>
      <x:c r="C149" s="119" t="str">
        <x:v>MG</x:v>
      </x:c>
      <x:c r="D149" s="119" t="str">
        <x:v>CE</x:v>
      </x:c>
      <x:c r="E149" s="122" t="n">
        <x:v>73</x:v>
      </x:c>
      <x:c r="F149" s="123" t="n">
        <x:v>0.1232876712328767</x:v>
      </x:c>
      <x:c r="G149" s="124" t="n">
        <x:v>17.23612839294774</x:v>
      </x:c>
      <x:c r="H149" s="125" t="n">
        <x:v>4.034246575342466</x:v>
      </x:c>
    </x:row>
    <x:row r="150">
      <x:c r="B150" s="119" t="str">
        <x:v>PR → RJ</x:v>
      </x:c>
      <x:c r="C150" s="119" t="str">
        <x:v>PR</x:v>
      </x:c>
      <x:c r="D150" s="119" t="str">
        <x:v>RJ</x:v>
      </x:c>
      <x:c r="E150" s="122" t="n">
        <x:v>951</x:v>
      </x:c>
      <x:c r="F150" s="123" t="n">
        <x:v>0.12302839116719243</x:v>
      </x:c>
      <x:c r="G150" s="124" t="n">
        <x:v>13.897363788604588</x:v>
      </x:c>
      <x:c r="H150" s="125" t="n">
        <x:v>3.912046908315565</x:v>
      </x:c>
    </x:row>
    <x:row r="151">
      <x:c r="B151" s="119" t="str">
        <x:v>SP → PA</x:v>
      </x:c>
      <x:c r="C151" s="119" t="str">
        <x:v>SP</x:v>
      </x:c>
      <x:c r="D151" s="119" t="str">
        <x:v>PA</x:v>
      </x:c>
      <x:c r="E151" s="122" t="n">
        <x:v>675</x:v>
      </x:c>
      <x:c r="F151" s="123" t="n">
        <x:v>0.12</x:v>
      </x:c>
      <x:c r="G151" s="124" t="n">
        <x:v>19.900853206447188</x:v>
      </x:c>
      <x:c r="H151" s="125" t="n">
        <x:v>3.8828828828828827</x:v>
      </x:c>
    </x:row>
    <x:row r="154">
      <x:c r="B154" s="91" t="str">
        <x:v>DATA QUALITY</x:v>
      </x:c>
      <x:c r="C154" s="92"/>
      <x:c r="D154" s="93"/>
    </x:row>
    <x:row r="155">
      <x:c r="B155" s="116" t="str">
        <x:v>Check</x:v>
      </x:c>
      <x:c r="C155" s="117" t="str">
        <x:v>Value</x:v>
      </x:c>
      <x:c r="D155" s="118" t="str">
        <x:v>Definition</x:v>
      </x:c>
    </x:row>
    <x:row r="156">
      <x:c r="B156" s="119" t="str">
        <x:v>raw_orders</x:v>
      </x:c>
      <x:c r="C156" s="119" t="n">
        <x:v>99441</x:v>
      </x:c>
      <x:c r="D156" s="119" t="str">
        <x:v>Source order rows</x:v>
      </x:c>
    </x:row>
    <x:row r="157">
      <x:c r="B157" s="119" t="str">
        <x:v>seller_order_rows</x:v>
      </x:c>
      <x:c r="C157" s="119" t="n">
        <x:v>100010</x:v>
      </x:c>
      <x:c r="D157" s="119" t="str">
        <x:v>Analytical seller-order fulfilment rows</x:v>
      </x:c>
    </x:row>
    <x:row r="158">
      <x:c r="B158" s="119" t="str">
        <x:v>orders_without_items</x:v>
      </x:c>
      <x:c r="C158" s="119" t="n">
        <x:v>775</x:v>
      </x:c>
      <x:c r="D158" s="119" t="str">
        <x:v>Orders not represented in item data</x:v>
      </x:c>
    </x:row>
    <x:row r="159">
      <x:c r="B159" s="119" t="str">
        <x:v>multi_seller_orders</x:v>
      </x:c>
      <x:c r="C159" s="119" t="n">
        <x:v>1278</x:v>
      </x:c>
      <x:c r="D159" s="119" t="str">
        <x:v>Attribution-ambiguous orders</x:v>
      </x:c>
    </x:row>
    <x:row r="160">
      <x:c r="B160" s="119" t="str">
        <x:v>missing_carrier_timestamp</x:v>
      </x:c>
      <x:c r="C160" s="119" t="n">
        <x:v>1783</x:v>
      </x:c>
      <x:c r="D160" s="119" t="str">
        <x:v>All order statuses</x:v>
      </x:c>
    </x:row>
    <x:row r="161">
      <x:c r="B161" s="119" t="str">
        <x:v>missing_delivery_timestamp</x:v>
      </x:c>
      <x:c r="C161" s="119" t="n">
        <x:v>2965</x:v>
      </x:c>
      <x:c r="D161" s="119" t="str">
        <x:v>All order statuses</x:v>
      </x:c>
    </x:row>
    <x:row r="162">
      <x:c r="B162" s="119" t="str">
        <x:v>invalid_approval_sequence_rows</x:v>
      </x:c>
      <x:c r="C162" s="119" t="n">
        <x:v>0</x:v>
      </x:c>
      <x:c r="D162" s="119" t="str">
        <x:v>Seller-order rows</x:v>
      </x:c>
    </x:row>
    <x:row r="163">
      <x:c r="B163" s="119" t="str">
        <x:v>invalid_carrier_sequence_rows</x:v>
      </x:c>
      <x:c r="C163" s="119" t="n">
        <x:v>1398</x:v>
      </x:c>
      <x:c r="D163" s="119" t="str">
        <x:v>Seller-order rows</x:v>
      </x:c>
    </x:row>
    <x:row r="164">
      <x:c r="B164" s="119" t="str">
        <x:v>invalid_delivery_sequence_rows</x:v>
      </x:c>
      <x:c r="C164" s="119" t="n">
        <x:v>42</x:v>
      </x:c>
      <x:c r="D164" s="119" t="str">
        <x:v>Seller-order rows</x:v>
      </x:c>
    </x:row>
    <x:row r="167">
      <x:c r="B167" s="91" t="str">
        <x:v>METRIC DEFINITIONS AND LIMITS</x:v>
      </x:c>
      <x:c r="C167" s="92"/>
      <x:c r="D167" s="92"/>
      <x:c r="E167" s="92"/>
      <x:c r="F167" s="92"/>
      <x:c r="G167" s="92"/>
      <x:c r="H167" s="93"/>
    </x:row>
    <x:row r="168" ht="34" customHeight="1">
      <x:c r="B168" s="121" t="str">
        <x:v>Analytical grain</x:v>
      </x:c>
      <x:c r="C168" s="121" t="str">
        <x:v>One row per order ID and seller ID. This is a fulfilment proxy, not a physical parcel.</x:v>
      </x:c>
    </x:row>
    <x:row r="169" ht="34" customHeight="1">
      <x:c r="B169" s="121" t="str">
        <x:v>On-time delivery</x:v>
      </x:c>
      <x:c r="C169" s="121" t="str">
        <x:v>Actual customer delivery calendar date is on or before the estimated delivery calendar date.</x:v>
      </x:c>
    </x:row>
    <x:row r="170" ht="34" customHeight="1">
      <x:c r="B170" s="121" t="str">
        <x:v>Late dispatch</x:v>
      </x:c>
      <x:c r="C170" s="121" t="str">
        <x:v>Carrier handover timestamp is after the strictest item shipping-limit timestamp for the seller–order.</x:v>
      </x:c>
    </x:row>
    <x:row r="171" ht="34" customHeight="1">
      <x:c r="B171" s="121" t="str">
        <x:v>Eligible merchant outcome</x:v>
      </x:c>
      <x:c r="C171" s="121" t="str">
        <x:v>Delivered order with valid promised and actual dates and exactly one seller.</x:v>
      </x:c>
    </x:row>
    <x:row r="172" ht="34" customHeight="1">
      <x:c r="B172" s="121" t="str">
        <x:v>Elevated merchant</x:v>
      </x:c>
      <x:c r="C172" s="121" t="str">
        <x:v>At least 30 eligible deliveries and the 95% Wilson lower bound exceeds the overall late-delivery rate.</x:v>
      </x:c>
    </x:row>
    <x:row r="173" ht="34" customHeight="1">
      <x:c r="B173" s="121" t="str">
        <x:v>Lane proxy</x:v>
      </x:c>
      <x:c r="C173" s="121" t="str">
        <x:v>Seller state to customer state. It is not a carrier route or physical network path.</x:v>
      </x:c>
    </x:row>
    <x:row r="174" ht="34" customHeight="1">
      <x:c r="B174" s="121" t="str">
        <x:v>Review score</x:v>
      </x:c>
      <x:c r="C174" s="121" t="str">
        <x:v>Average review per order, then average across reviewed eligible orders. Missing reviews are not replaced with zero.</x:v>
      </x:c>
    </x:row>
    <x:row r="175" ht="34" customHeight="1">
      <x:c r="B175" s="121" t="str">
        <x:v>Between-state share</x:v>
      </x:c>
      <x:c r="C175" s="121" t="str">
        <x:v>Share of eligible orders where seller state differs from customer state; not a distance or route measure.</x:v>
      </x:c>
    </x:row>
    <x:row r="176" ht="34" customHeight="1">
      <x:c r="B176" s="121" t="str">
        <x:v>Different deadlines</x:v>
      </x:c>
      <x:c r="C176" s="121" t="str">
        <x:v>Late dispatch uses the seller shipping limit. On-time delivery uses the customer-promised delivery date, so one can fail while the other passes.</x:v>
      </x:c>
    </x:row>
    <x:row r="177" ht="34" customHeight="1">
      <x:c r="B177" s="121" t="str">
        <x:v>Early-period note</x:v>
      </x:c>
      <x:c r="C177" s="121" t="str">
        <x:v>The 2016-10 cohort has 262 orders and unusually long customer promise windows. It remains in the data table but is excluded from the main trend.</x:v>
      </x:c>
    </x:row>
    <x:row r="178" ht="34" customHeight="1">
      <x:c r="B178" s="121" t="str">
        <x:v>Observed limitation</x:v>
      </x:c>
      <x:c r="C178" s="121" t="str">
        <x:v>No parcel ID, carrier, hub scan, locker event, attempt count or exception reason is available.</x:v>
      </x:c>
    </x:row>
    <x:row r="179" ht="34" customHeight="1">
      <x:c r="B179" s="121" t="str">
        <x:v>Source</x:v>
      </x:c>
      <x:c r="C179" s="121" t="str">
        <x:v>https://www.kaggle.com/olistbr/brazilian-ecommerce/home</x:v>
      </x:c>
    </x:row>
  </x:sheetData>
  <x:mergeCells>
    <x:mergeCell ref="B2:P2"/>
    <x:mergeCell ref="B3:P3"/>
    <x:mergeCell ref="B5:P5"/>
    <x:mergeCell ref="B6:P6"/>
    <x:mergeCell ref="B7:P7"/>
    <x:mergeCell ref="B13:J13"/>
    <x:mergeCell ref="L13:N13"/>
    <x:mergeCell ref="C11:P11"/>
    <x:mergeCell ref="B40:L40"/>
    <x:mergeCell ref="B41:L41"/>
    <x:mergeCell ref="B124:H124"/>
    <x:mergeCell ref="B125:H125"/>
    <x:mergeCell ref="B154:D154"/>
    <x:mergeCell ref="B167:H167"/>
  </x:mergeCells>
  <x:conditionalFormatting sqref="F43:F121">
    <x:cfRule type="colorScale" priority="1">
      <x:colorScale>
        <x:cfvo type="min"/>
        <x:cfvo type="percentile" val="50"/>
        <x:cfvo type="max"/>
        <x:color rgb="FFFFF2CC"/>
        <x:color rgb="FFF4A582"/>
        <x:color rgb="FFB2182B"/>
      </x:colorScale>
    </x:cfRule>
  </x:conditionalFormatting>
  <x:conditionalFormatting sqref="F127:F151">
    <x:cfRule type="colorScale" priority="2">
      <x:colorScale>
        <x:cfvo type="min"/>
        <x:cfvo type="percentile" val="50"/>
        <x:cfvo type="max"/>
        <x:color rgb="FFFFF2CC"/>
        <x:color rgb="FFF4A582"/>
        <x:color rgb="FFB2182B"/>
      </x:colorScale>
    </x:cfRule>
  </x:conditionalFormatting>
  <x:dataValidations count="1">
    <x:dataValidation type="list" sqref="C9">
      <x:formula1>'Data &amp; Targets'!$B$17:$B$36</x:formula1>
    </x:dataValidation>
  </x:dataValidations>
  <x:pageMargins left="0.7" right="0.7" top="0.75" bottom="0.75" header="0.3" footer="0.3"/>
  <x:tableParts count="5">
    <x:tablePart xmlns:r="http://schemas.openxmlformats.org/officeDocument/2006/relationships" r:id="R101c5186c88b480c"/>
    <x:tablePart xmlns:r="http://schemas.openxmlformats.org/officeDocument/2006/relationships" r:id="Rdea0cf05b4744e8d"/>
    <x:tablePart xmlns:r="http://schemas.openxmlformats.org/officeDocument/2006/relationships" r:id="Re0c482eef95f4cab"/>
    <x:tablePart xmlns:r="http://schemas.openxmlformats.org/officeDocument/2006/relationships" r:id="R0e4da9a16d7c44b1"/>
    <x:tablePart xmlns:r="http://schemas.openxmlformats.org/officeDocument/2006/relationships" r:id="Rdf2585ba44214d3f"/>
  </x:tableParts>
</x:worksheet>
</file>

<file path=xl/worksheets/sheet3.xml><?xml version="1.0" encoding="utf-8"?>
<x:worksheet xmlns:x="http://schemas.openxmlformats.org/spreadsheetml/2006/main">
  <x:sheetPr>
    <x:tabColor rgb="FF7B8794"/>
  </x:sheetPr>
  <x:sheetViews>
    <x:sheetView showGridLines="0" workbookViewId="0">
      <x:pane ySplit="1" topLeftCell="A2" activePane="bottomLeft" state="frozen"/>
    </x:sheetView>
  </x:sheetViews>
  <x:sheetFormatPr baseColWidth="10" defaultColWidth="8.83203125" defaultRowHeight="14"/>
  <x:cols>
    <x:col min="1" max="1" width="27" customWidth="1"/>
    <x:col min="2" max="4" width="14" customWidth="1"/>
    <x:col min="5" max="5" width="12" customWidth="1"/>
    <x:col min="6" max="6" width="14" customWidth="1"/>
    <x:col min="7" max="7" width="3" customWidth="1"/>
    <x:col min="8" max="8" width="14" customWidth="1"/>
    <x:col min="9" max="9" width="15" customWidth="1"/>
    <x:col min="10" max="10" width="14" customWidth="1"/>
    <x:col min="11" max="11" width="3" customWidth="1"/>
    <x:col min="12" max="12" width="14" customWidth="1"/>
    <x:col min="13" max="13" width="15" customWidth="1"/>
    <x:col min="14" max="14" width="14" customWidth="1"/>
    <x:col min="15" max="15" width="3" customWidth="1"/>
    <x:col min="16" max="16" width="24" customWidth="1"/>
    <x:col min="17" max="17" width="15" customWidth="1"/>
    <x:col min="18" max="18" width="3" customWidth="1"/>
    <x:col min="19" max="19" width="16" customWidth="1"/>
    <x:col min="20" max="20" width="15" customWidth="1"/>
  </x:cols>
  <x:sheetData>
    <x:row r="1">
      <x:c r="A1" s="138" t="str">
        <x:v>Metric</x:v>
      </x:c>
      <x:c r="B1" s="138" t="str">
        <x:v>Actual</x:v>
      </x:c>
      <x:c r="C1" s="138" t="str">
        <x:v>Overall</x:v>
      </x:c>
      <x:c r="D1" s="138" t="str">
        <x:v>Prior</x:v>
      </x:c>
      <x:c r="E1" s="138" t="str">
        <x:v>Direction</x:v>
      </x:c>
      <x:c r="F1" s="138" t="str">
        <x:v>Status</x:v>
      </x:c>
      <x:c r="G1" s="130"/>
      <x:c r="H1" s="138" t="str">
        <x:v>Period</x:v>
      </x:c>
      <x:c r="I1" s="138" t="str">
        <x:v>On-time delivery</x:v>
      </x:c>
      <x:c r="J1" s="138" t="str">
        <x:v>Overall</x:v>
      </x:c>
      <x:c r="K1" s="130"/>
      <x:c r="L1" s="138" t="str">
        <x:v>Period</x:v>
      </x:c>
      <x:c r="M1" s="138" t="str">
        <x:v>Approval to carrier</x:v>
      </x:c>
      <x:c r="N1" s="138" t="str">
        <x:v>Carrier to delivery</x:v>
      </x:c>
      <x:c r="O1" s="130"/>
      <x:c r="P1" s="138" t="str">
        <x:v>Delivery outcome</x:v>
      </x:c>
      <x:c r="Q1" s="138" t="str">
        <x:v>Orders</x:v>
      </x:c>
      <x:c r="R1" s="141" t="str">
        <x:v>Late dispatch</x:v>
      </x:c>
      <x:c r="S1" s="138" t="str">
        <x:v>Approval to carrier</x:v>
      </x:c>
      <x:c r="T1" s="138" t="str">
        <x:v>Carrier to delivery</x:v>
      </x:c>
      <x:c r="U1" s="106" t="str">
        <x:v>Purchase to delivery</x:v>
      </x:c>
      <x:c r="V1" s="106" t="str">
        <x:v>Review score</x:v>
      </x:c>
      <x:c r="W1" s="119"/>
      <x:c r="X1" s="106" t="str">
        <x:v>Lane</x:v>
      </x:c>
      <x:c r="Y1" s="106" t="str">
        <x:v>Late delivery</x:v>
      </x:c>
    </x:row>
    <x:row r="2">
      <x:c r="A2" s="130" t="str">
        <x:v>Delivered orders</x:v>
      </x:c>
      <x:c r="B2" s="143" t="n">
        <x:f>INDEX('Data &amp; Targets'!$C$16:$C$36,MATCH('Data &amp; Targets'!$C$9,'Data &amp; Targets'!$B$16:$B$36,0))</x:f>
        <x:v>6239</x:v>
      </x:c>
      <x:c r="C2" s="143" t="n">
        <x:v>4533</x:v>
      </x:c>
      <x:c r="D2" s="143" t="n">
        <x:f>IF(MATCH('Data &amp; Targets'!$C$9,'Data &amp; Targets'!$B$16:$B$36,0)&gt;2,INDEX('Data &amp; Targets'!$C$16:$C$36,MATCH('Data &amp; Targets'!$C$9,'Data &amp; Targets'!$B$16:$B$36,0)-1),"")</x:f>
        <x:v>6059</x:v>
      </x:c>
      <x:c r="E2" s="130" t="str">
        <x:f t="shared" ref="E2:E7" si="0">"Higher"</x:f>
        <x:v>Context</x:v>
      </x:c>
      <x:c r="F2" s="130" t="str">
        <x:f t="shared" ref="F2:F9" si="1">IF(E2="Context","Context",IF(E2="Higher",IF(B2&gt;=C2,"At/above overall","Below overall"),IF(B2&lt;=C2,"At/below overall","Above overall")))</x:f>
        <x:v>Context</x:v>
      </x:c>
      <x:c r="G2" s="130"/>
      <x:c r="H2" s="132" t="str">
        <x:v>2017-01</x:v>
      </x:c>
      <x:c r="I2" s="144" t="n">
        <x:v>0.9705093833780161</x:v>
      </x:c>
      <x:c r="J2" s="144" t="n">
        <x:v>0.9314985030726404</x:v>
      </x:c>
      <x:c r="K2" s="130"/>
      <x:c r="L2" s="132" t="str">
        <x:v>2016-10</x:v>
      </x:c>
      <x:c r="M2" s="145" t="n">
        <x:v>13.079478062270287</x:v>
      </x:c>
      <x:c r="N2" s="145" t="n">
        <x:v>5.914793102210738</x:v>
      </x:c>
      <x:c r="O2" s="130"/>
      <x:c r="P2" s="130" t="str">
        <x:v>Late</x:v>
      </x:c>
      <x:c r="Q2" s="131" t="n">
        <x:v>6521</x:v>
      </x:c>
      <x:c r="R2" s="144" t="n">
        <x:v>0.27791411042944786</x:v>
      </x:c>
      <x:c r="S2" s="145" t="n">
        <x:v>5.5783207810932085</x:v>
      </x:c>
      <x:c r="T2" s="145" t="n">
        <x:v>27.895517020279485</x:v>
      </x:c>
      <x:c r="U2" s="124" t="n">
        <x:v>33.961458008528005</x:v>
      </x:c>
      <x:c r="V2" s="125" t="n">
        <x:v>2.2726487674674205</x:v>
      </x:c>
      <x:c r="W2" s="119"/>
      <x:c r="X2" s="119" t="str">
        <x:v>PR → AL</x:v>
      </x:c>
      <x:c r="Y2" s="123" t="n">
        <x:v>0.3142857142857143</x:v>
      </x:c>
    </x:row>
    <x:row r="3">
      <x:c r="A3" s="130" t="str">
        <x:v>On-time delivery rate</x:v>
      </x:c>
      <x:c r="B3" s="144" t="n">
        <x:f>INDEX('Data &amp; Targets'!$D$16:$D$36,MATCH('Data &amp; Targets'!$C$9,'Data &amp; Targets'!$B$16:$B$36,0))</x:f>
        <x:v>0.9370091360794999</x:v>
      </x:c>
      <x:c r="C3" s="144" t="n">
        <x:v>0.9314985030726404</x:v>
      </x:c>
      <x:c r="D3" s="144" t="n">
        <x:f>IF(MATCH('Data &amp; Targets'!$C$9,'Data &amp; Targets'!$B$16:$B$36,0)&gt;2,INDEX('Data &amp; Targets'!$D$16:$D$36,MATCH('Data &amp; Targets'!$C$9,'Data &amp; Targets'!$B$16:$B$36,0)-1),"")</x:f>
        <x:v>0.9656709027892392</x:v>
      </x:c>
      <x:c r="E3" s="130" t="str">
        <x:f t="shared" si="0"/>
        <x:v>Higher</x:v>
      </x:c>
      <x:c r="F3" s="130" t="str">
        <x:f t="shared" si="1">IF(E3="Context","Context",IF(E3="Higher",IF(B3&gt;=C3,"At/above overall","Below overall"),IF(B3&lt;=C3,"At/below overall","Above overall")))</x:f>
        <x:v>At/above overall</x:v>
      </x:c>
      <x:c r="G3" s="130"/>
      <x:c r="H3" s="132" t="str">
        <x:v>2017-02</x:v>
      </x:c>
      <x:c r="I3" s="144" t="n">
        <x:v>0.9701401584399756</x:v>
      </x:c>
      <x:c r="J3" s="144" t="n">
        <x:v>0.9314985030726404</x:v>
      </x:c>
      <x:c r="K3" s="130"/>
      <x:c r="L3" s="132" t="str">
        <x:v>2017-01</x:v>
      </x:c>
      <x:c r="M3" s="145" t="n">
        <x:v>2.915033462141577</x:v>
      </x:c>
      <x:c r="N3" s="145" t="n">
        <x:v>9.234111728601928</x:v>
      </x:c>
      <x:c r="O3" s="130"/>
      <x:c r="P3" s="130" t="str">
        <x:v>On time</x:v>
      </x:c>
      <x:c r="Q3" s="131" t="n">
        <x:v>88674</x:v>
      </x:c>
      <x:c r="R3" s="144" t="n">
        <x:v>0.07721541827367662</x:v>
      </x:c>
      <x:c r="S3" s="145" t="n">
        <x:v>2.6633707684092522</x:v>
      </x:c>
      <x:c r="T3" s="145" t="n">
        <x:v>8.00241012438442</x:v>
      </x:c>
      <x:c r="U3" s="124" t="n">
        <x:v>11.033430971326306</x:v>
      </x:c>
      <x:c r="V3" s="125" t="n">
        <x:v>4.3107940071509026</x:v>
      </x:c>
      <x:c r="W3" s="119"/>
      <x:c r="X3" s="119" t="str">
        <x:v>SP → AL</x:v>
      </x:c>
      <x:c r="Y3" s="123" t="n">
        <x:v>0.24015748031496062</x:v>
      </x:c>
    </x:row>
    <x:row r="4">
      <x:c r="A4" s="130" t="str">
        <x:v>Late dispatch rate</x:v>
      </x:c>
      <x:c r="B4" s="144" t="n">
        <x:f>INDEX('Data &amp; Targets'!$E$16:$E$36,MATCH('Data &amp; Targets'!$C$9,'Data &amp; Targets'!$B$16:$B$36,0))</x:f>
        <x:v>0.0921622054816477</x:v>
      </x:c>
      <x:c r="C4" s="144" t="n">
        <x:v>0.0909616152278505</x:v>
      </x:c>
      <x:c r="D4" s="144" t="n">
        <x:f>IF(MATCH('Data &amp; Targets'!$C$9,'Data &amp; Targets'!$B$16:$B$36,0)&gt;2,INDEX('Data &amp; Targets'!$E$16:$E$36,MATCH('Data &amp; Targets'!$C$9,'Data &amp; Targets'!$B$16:$B$36,0)-1),"")</x:f>
        <x:v>0.09093909886119822</x:v>
      </x:c>
      <x:c r="E4" s="130" t="str">
        <x:f t="shared" si="0"/>
        <x:v>Lower</x:v>
      </x:c>
      <x:c r="F4" s="130" t="str">
        <x:f t="shared" si="1">IF(E4="Context","Context",IF(E4="Higher",IF(B4&gt;=C4,"At/above overall","Below overall"),IF(B4&lt;=C4,"At/below overall","Above overall")))</x:f>
        <x:v>Above overall</x:v>
      </x:c>
      <x:c r="G4" s="130"/>
      <x:c r="H4" s="132" t="str">
        <x:v>2017-03</x:v>
      </x:c>
      <x:c r="I4" s="144" t="n">
        <x:v>0.9543486816214088</x:v>
      </x:c>
      <x:c r="J4" s="144" t="n">
        <x:v>0.9314985030726404</x:v>
      </x:c>
      <x:c r="K4" s="130"/>
      <x:c r="L4" s="132" t="str">
        <x:v>2017-02</x:v>
      </x:c>
      <x:c r="M4" s="145" t="n">
        <x:v>3.2258327005983256</x:v>
      </x:c>
      <x:c r="N4" s="145" t="n">
        <x:v>9.575570500993072</x:v>
      </x:c>
      <x:c r="O4" s="130"/>
      <x:c r="P4" s="130"/>
      <x:c r="Q4" s="131"/>
      <x:c r="R4" s="130"/>
      <x:c r="S4" s="130"/>
      <x:c r="T4" s="133"/>
      <x:c r="U4" s="119"/>
      <x:c r="V4" s="119"/>
      <x:c r="W4" s="119"/>
      <x:c r="X4" s="119" t="str">
        <x:v>RJ → CE</x:v>
      </x:c>
      <x:c r="Y4" s="123" t="n">
        <x:v>0.2037037037037037</x:v>
      </x:c>
    </x:row>
    <x:row r="5">
      <x:c r="A5" s="130" t="str">
        <x:v>Approval to carrier days</x:v>
      </x:c>
      <x:c r="B5" s="142" t="n">
        <x:f>INDEX('Data &amp; Targets'!$F$16:$F$36,MATCH('Data &amp; Targets'!$C$9,'Data &amp; Targets'!$B$16:$B$36,0))</x:f>
        <x:v>2.214547157299077</x:v>
      </x:c>
      <x:c r="C5" s="142" t="n">
        <x:v>2.8651064393594132</x:v>
      </x:c>
      <x:c r="D5" s="142" t="n">
        <x:f>IF(MATCH('Data &amp; Targets'!$C$9,'Data &amp; Targets'!$B$16:$B$36,0)&gt;2,INDEX('Data &amp; Targets'!$F$16:$F$36,MATCH('Data &amp; Targets'!$C$9,'Data &amp; Targets'!$B$16:$B$36,0)-1),"")</x:f>
        <x:v>2.6302649104523312</x:v>
      </x:c>
      <x:c r="E5" s="130" t="str">
        <x:f t="shared" si="0"/>
        <x:v>Lower</x:v>
      </x:c>
      <x:c r="F5" s="130" t="str">
        <x:f t="shared" si="1">IF(E5="Context","Context",IF(E5="Higher",IF(B5&gt;=C5,"At/above overall","Below overall"),IF(B5&lt;=C5,"At/below overall","Above overall")))</x:f>
        <x:v>At/below overall</x:v>
      </x:c>
      <x:c r="G5" s="130"/>
      <x:c r="H5" s="132" t="str">
        <x:v>2017-04</x:v>
      </x:c>
      <x:c r="I5" s="144" t="n">
        <x:v>0.9343544857768052</x:v>
      </x:c>
      <x:c r="J5" s="144" t="n">
        <x:v>0.9314985030726404</x:v>
      </x:c>
      <x:c r="K5" s="130"/>
      <x:c r="L5" s="132" t="str">
        <x:v>2017-03</x:v>
      </x:c>
      <x:c r="M5" s="145" t="n">
        <x:v>2.8564249274855333</x:v>
      </x:c>
      <x:c r="N5" s="145" t="n">
        <x:v>9.84694590202166</x:v>
      </x:c>
      <x:c r="O5" s="130"/>
      <x:c r="P5" s="130"/>
      <x:c r="Q5" s="131"/>
      <x:c r="R5" s="130"/>
      <x:c r="S5" s="130"/>
      <x:c r="T5" s="133"/>
      <x:c r="U5" s="119"/>
      <x:c r="V5" s="119"/>
      <x:c r="W5" s="119"/>
      <x:c r="X5" s="119" t="str">
        <x:v>MA → SP</x:v>
      </x:c>
      <x:c r="Y5" s="123" t="n">
        <x:v>0.2032520325203252</x:v>
      </x:c>
    </x:row>
    <x:row r="6">
      <x:c r="A6" s="130" t="str">
        <x:v>Carrier to delivery days</x:v>
      </x:c>
      <x:c r="B6" s="142" t="n">
        <x:f>INDEX('Data &amp; Targets'!$G$16:$G$36,MATCH('Data &amp; Targets'!$C$9,'Data &amp; Targets'!$B$16:$B$36,0))</x:f>
        <x:v>5.217998601612913</x:v>
      </x:c>
      <x:c r="C6" s="142" t="n">
        <x:v>9.364980320426397</x:v>
      </x:c>
      <x:c r="D6" s="142" t="n">
        <x:f>IF(MATCH('Data &amp; Targets'!$C$9,'Data &amp; Targets'!$B$16:$B$36,0)&gt;2,INDEX('Data &amp; Targets'!$G$16:$G$36,MATCH('Data &amp; Targets'!$C$9,'Data &amp; Targets'!$B$16:$B$36,0)-1),"")</x:f>
        <x:v>6.152332062267335</x:v>
      </x:c>
      <x:c r="E6" s="130" t="str">
        <x:f t="shared" si="0"/>
        <x:v>Lower</x:v>
      </x:c>
      <x:c r="F6" s="130" t="str">
        <x:f t="shared" si="1">IF(E6="Context","Context",IF(E6="Higher",IF(B6&gt;=C6,"At/above overall","Below overall"),IF(B6&lt;=C6,"At/below overall","Above overall")))</x:f>
        <x:v>At/below overall</x:v>
      </x:c>
      <x:c r="G6" s="130"/>
      <x:c r="H6" s="132" t="str">
        <x:v>2017-05</x:v>
      </x:c>
      <x:c r="I6" s="144" t="n">
        <x:v>0.9698263592371192</x:v>
      </x:c>
      <x:c r="J6" s="144" t="n">
        <x:v>0.9314985030726404</x:v>
      </x:c>
      <x:c r="K6" s="130"/>
      <x:c r="L6" s="132" t="str">
        <x:v>2017-04</x:v>
      </x:c>
      <x:c r="M6" s="145" t="n">
        <x:v>3.1713782515930347</x:v>
      </x:c>
      <x:c r="N6" s="145" t="n">
        <x:v>11.258093357443878</x:v>
      </x:c>
      <x:c r="O6" s="130"/>
      <x:c r="P6" s="130"/>
      <x:c r="Q6" s="131"/>
      <x:c r="R6" s="130"/>
      <x:c r="S6" s="130"/>
      <x:c r="T6" s="130"/>
      <x:c r="U6" s="119"/>
      <x:c r="V6" s="119"/>
      <x:c r="W6" s="119"/>
      <x:c r="X6" s="119" t="str">
        <x:v>SP → MA</x:v>
      </x:c>
      <x:c r="Y6" s="123" t="n">
        <x:v>0.19135802469135801</x:v>
      </x:c>
    </x:row>
    <x:row r="7">
      <x:c r="A7" s="130" t="str">
        <x:v>Purchase to delivery days</x:v>
      </x:c>
      <x:c r="B7" s="142" t="n">
        <x:f>INDEX('Data &amp; Targets'!$H$16:$H$36,MATCH('Data &amp; Targets'!$C$9,'Data &amp; Targets'!$B$16:$B$36,0))</x:f>
        <x:v>7.747473045152059</x:v>
      </x:c>
      <x:c r="C7" s="142" t="n">
        <x:v>12.604035144965598</x:v>
      </x:c>
      <x:c r="D7" s="142" t="n">
        <x:f>IF(MATCH('Data &amp; Targets'!$C$9,'Data &amp; Targets'!$B$16:$B$36,0)&gt;2,INDEX('Data &amp; Targets'!$H$16:$H$36,MATCH('Data &amp; Targets'!$C$9,'Data &amp; Targets'!$B$16:$B$36,0)-1),"")</x:f>
        <x:v>8.99158915723778</x:v>
      </x:c>
      <x:c r="E7" s="130" t="str">
        <x:f t="shared" si="0"/>
        <x:v>Lower</x:v>
      </x:c>
      <x:c r="F7" s="130" t="str">
        <x:f t="shared" si="1">IF(E7="Context","Context",IF(E7="Higher",IF(B7&gt;=C7,"At/above overall","Below overall"),IF(B7&lt;=C7,"At/below overall","Above overall")))</x:f>
        <x:v>At/below overall</x:v>
      </x:c>
      <x:c r="G7" s="130"/>
      <x:c r="H7" s="132" t="str">
        <x:v>2017-06</x:v>
      </x:c>
      <x:c r="I7" s="144" t="n">
        <x:v>0.9694533762057878</x:v>
      </x:c>
      <x:c r="J7" s="144" t="n">
        <x:v>0.9314985030726404</x:v>
      </x:c>
      <x:c r="K7" s="130"/>
      <x:c r="L7" s="132" t="str">
        <x:v>2017-05</x:v>
      </x:c>
      <x:c r="M7" s="145" t="n">
        <x:v>2.5816715622452975</x:v>
      </x:c>
      <x:c r="N7" s="145" t="n">
        <x:v>8.368793884619034</x:v>
      </x:c>
      <x:c r="O7" s="130"/>
      <x:c r="P7" s="130"/>
      <x:c r="Q7" s="130"/>
      <x:c r="R7" s="130"/>
      <x:c r="S7" s="130"/>
      <x:c r="T7" s="130"/>
      <x:c r="U7" s="119"/>
      <x:c r="V7" s="119"/>
      <x:c r="W7" s="119"/>
      <x:c r="X7" s="119"/>
      <x:c r="Y7" s="119"/>
    </x:row>
    <x:row r="8">
      <x:c r="A8" s="130" t="str">
        <x:v>Average review score</x:v>
      </x:c>
      <x:c r="B8" s="142" t="n">
        <x:f>INDEX('Data &amp; Targets'!$I$16:$I$36,MATCH('Data &amp; Targets'!$C$9,'Data &amp; Targets'!$B$16:$B$36,0))</x:f>
        <x:v>4.338292055323255</x:v>
      </x:c>
      <x:c r="C8" s="142" t="n">
        <x:v>4.173521003634261</x:v>
      </x:c>
      <x:c r="D8" s="142" t="n">
        <x:f>IF(MATCH('Data &amp; Targets'!$C$9,'Data &amp; Targets'!$B$16:$B$36,0)&gt;2,INDEX('Data &amp; Targets'!$I$16:$I$36,MATCH('Data &amp; Targets'!$C$9,'Data &amp; Targets'!$B$16:$B$36,0)-1),"")</x:f>
        <x:v>4.33543673198273</x:v>
      </x:c>
      <x:c r="E8" s="130" t="str">
        <x:v>Higher</x:v>
      </x:c>
      <x:c r="F8" s="130" t="str">
        <x:f t="shared" si="1">IF(E8="Context","Context",IF(E8="Higher",IF(B8&gt;=C8,"At/above overall","Below overall"),IF(B8&lt;=C8,"At/below overall","Above overall")))</x:f>
        <x:v>At/above overall</x:v>
      </x:c>
      <x:c r="G8" s="130"/>
      <x:c r="H8" s="132" t="str">
        <x:v>2017-07</x:v>
      </x:c>
      <x:c r="I8" s="144" t="n">
        <x:v>0.9716386554621849</x:v>
      </x:c>
      <x:c r="J8" s="144" t="n">
        <x:v>0.9314985030726404</x:v>
      </x:c>
      <x:c r="K8" s="130"/>
      <x:c r="L8" s="132" t="str">
        <x:v>2017-06</x:v>
      </x:c>
      <x:c r="M8" s="145" t="n">
        <x:v>2.7396133528892705</x:v>
      </x:c>
      <x:c r="N8" s="145" t="n">
        <x:v>8.907058156931047</x:v>
      </x:c>
      <x:c r="O8" s="130"/>
      <x:c r="P8" s="130"/>
      <x:c r="Q8" s="130"/>
      <x:c r="R8" s="130"/>
      <x:c r="S8" s="130"/>
      <x:c r="T8" s="130"/>
      <x:c r="U8" s="119"/>
      <x:c r="V8" s="119"/>
      <x:c r="W8" s="119"/>
      <x:c r="X8" s="119"/>
      <x:c r="Y8" s="119"/>
    </x:row>
    <x:row r="9">
      <x:c r="A9" s="130" t="str">
        <x:v>Between-state share</x:v>
      </x:c>
      <x:c r="B9" s="144" t="n">
        <x:f>INDEX('Data &amp; Targets'!$J$16:$J$36,MATCH('Data &amp; Targets'!$C$9,'Data &amp; Targets'!$B$16:$B$36,0))</x:f>
        <x:v>0.5508895656355185</x:v>
      </x:c>
      <x:c r="C9" s="144" t="n">
        <x:v>0.6403802720731131</x:v>
      </x:c>
      <x:c r="D9" s="144" t="n">
        <x:f>IF(MATCH('Data &amp; Targets'!$C$9,'Data &amp; Targets'!$B$16:$B$36,0)&gt;2,INDEX('Data &amp; Targets'!$J$16:$J$36,MATCH('Data &amp; Targets'!$C$9,'Data &amp; Targets'!$B$16:$B$36,0)-1),"")</x:f>
        <x:v>0.6225449744182209</x:v>
      </x:c>
      <x:c r="E9" s="130" t="str">
        <x:v>Context</x:v>
      </x:c>
      <x:c r="F9" s="130" t="str">
        <x:f t="shared" si="1">IF(E9="Context","Context",IF(E9="Higher",IF(B9&gt;=C9,"At/above overall","Below overall"),IF(B9&lt;=C9,"At/below overall","Above overall")))</x:f>
        <x:v>Context</x:v>
      </x:c>
      <x:c r="G9" s="130"/>
      <x:c r="H9" s="132" t="str">
        <x:v>2017-08</x:v>
      </x:c>
      <x:c r="I9" s="144" t="n">
        <x:v>0.9707376058041113</x:v>
      </x:c>
      <x:c r="J9" s="144" t="n">
        <x:v>0.9314985030726404</x:v>
      </x:c>
      <x:c r="K9" s="130"/>
      <x:c r="L9" s="132" t="str">
        <x:v>2017-07</x:v>
      </x:c>
      <x:c r="M9" s="145" t="n">
        <x:v>2.7119774097784424</x:v>
      </x:c>
      <x:c r="N9" s="145" t="n">
        <x:v>8.554960752095978</x:v>
      </x:c>
      <x:c r="O9" s="130"/>
      <x:c r="P9" s="130"/>
      <x:c r="Q9" s="130"/>
      <x:c r="R9" s="130"/>
      <x:c r="S9" s="130"/>
      <x:c r="T9" s="130"/>
      <x:c r="U9" s="119"/>
      <x:c r="V9" s="119"/>
      <x:c r="W9" s="119"/>
      <x:c r="X9" s="119"/>
      <x:c r="Y9" s="119"/>
    </x:row>
    <x:row r="10">
      <x:c r="A10" s="130"/>
      <x:c r="B10" s="130"/>
      <x:c r="C10" s="130"/>
      <x:c r="D10" s="130"/>
      <x:c r="E10" s="130"/>
      <x:c r="F10" s="130"/>
      <x:c r="G10" s="130"/>
      <x:c r="H10" s="132" t="str">
        <x:v>2017-09</x:v>
      </x:c>
      <x:c r="I10" s="144" t="n">
        <x:v>0.9556746225036532</x:v>
      </x:c>
      <x:c r="J10" s="144" t="n">
        <x:v>0.9314985030726404</x:v>
      </x:c>
      <x:c r="K10" s="130"/>
      <x:c r="L10" s="132" t="str">
        <x:v>2017-08</x:v>
      </x:c>
      <x:c r="M10" s="145" t="n">
        <x:v>2.7117018564434052</x:v>
      </x:c>
      <x:c r="N10" s="145" t="n">
        <x:v>8.128430312038157</x:v>
      </x:c>
      <x:c r="O10" s="130"/>
      <x:c r="P10" s="130"/>
      <x:c r="Q10" s="130"/>
      <x:c r="R10" s="130"/>
      <x:c r="S10" s="130"/>
      <x:c r="T10" s="130"/>
      <x:c r="U10" s="119"/>
      <x:c r="V10" s="119"/>
      <x:c r="W10" s="119"/>
      <x:c r="X10" s="119"/>
      <x:c r="Y10" s="119"/>
    </x:row>
    <x:row r="11">
      <x:c r="A11" s="130"/>
      <x:c r="B11" s="130"/>
      <x:c r="C11" s="130"/>
      <x:c r="D11" s="130"/>
      <x:c r="E11" s="130"/>
      <x:c r="F11" s="130"/>
      <x:c r="G11" s="130"/>
      <x:c r="H11" s="132" t="str">
        <x:v>2017-10</x:v>
      </x:c>
      <x:c r="I11" s="144" t="n">
        <x:v>0.9576347983688265</x:v>
      </x:c>
      <x:c r="J11" s="144" t="n">
        <x:v>0.9314985030726404</x:v>
      </x:c>
      <x:c r="K11" s="130"/>
      <x:c r="L11" s="132" t="str">
        <x:v>2017-09</x:v>
      </x:c>
      <x:c r="M11" s="145" t="n">
        <x:v>2.7926052525314224</x:v>
      </x:c>
      <x:c r="N11" s="145" t="n">
        <x:v>8.661092166847116</x:v>
      </x:c>
      <x:c r="O11" s="130"/>
      <x:c r="P11" s="130"/>
      <x:c r="Q11" s="130"/>
      <x:c r="R11" s="130"/>
      <x:c r="S11" s="130"/>
      <x:c r="T11" s="130"/>
      <x:c r="U11" s="119"/>
      <x:c r="V11" s="119"/>
      <x:c r="W11" s="119"/>
      <x:c r="X11" s="119"/>
      <x:c r="Y11" s="119"/>
    </x:row>
    <x:row r="12">
      <x:c r="A12" s="130"/>
      <x:c r="B12" s="130"/>
      <x:c r="C12" s="130"/>
      <x:c r="D12" s="130"/>
      <x:c r="E12" s="130"/>
      <x:c r="F12" s="130"/>
      <x:c r="G12" s="130"/>
      <x:c r="H12" s="132" t="str">
        <x:v>2017-11</x:v>
      </x:c>
      <x:c r="I12" s="144" t="n">
        <x:v>0.8746351633078526</x:v>
      </x:c>
      <x:c r="J12" s="144" t="n">
        <x:v>0.9314985030726404</x:v>
      </x:c>
      <x:c r="K12" s="130"/>
      <x:c r="L12" s="132" t="str">
        <x:v>2017-10</x:v>
      </x:c>
      <x:c r="M12" s="145" t="n">
        <x:v>3.0751912816333555</x:v>
      </x:c>
      <x:c r="N12" s="145" t="n">
        <x:v>8.441409055677223</x:v>
      </x:c>
      <x:c r="O12" s="130"/>
      <x:c r="P12" s="130"/>
      <x:c r="Q12" s="130"/>
      <x:c r="R12" s="130"/>
      <x:c r="S12" s="130"/>
      <x:c r="T12" s="130"/>
      <x:c r="U12" s="119"/>
      <x:c r="V12" s="119"/>
      <x:c r="W12" s="119"/>
      <x:c r="X12" s="119"/>
      <x:c r="Y12" s="119"/>
    </x:row>
    <x:row r="13">
      <x:c r="A13" s="130"/>
      <x:c r="B13" s="130"/>
      <x:c r="C13" s="130"/>
      <x:c r="D13" s="130"/>
      <x:c r="E13" s="130"/>
      <x:c r="F13" s="130"/>
      <x:c r="G13" s="130"/>
      <x:c r="H13" s="132" t="str">
        <x:v>2017-12</x:v>
      </x:c>
      <x:c r="I13" s="144" t="n">
        <x:v>0.9251925192519252</x:v>
      </x:c>
      <x:c r="J13" s="144" t="n">
        <x:v>0.9314985030726404</x:v>
      </x:c>
      <x:c r="K13" s="130"/>
      <x:c r="L13" s="132" t="str">
        <x:v>2017-11</x:v>
      </x:c>
      <x:c r="M13" s="145" t="n">
        <x:v>3.6340108446210317</x:v>
      </x:c>
      <x:c r="N13" s="145" t="n">
        <x:v>11.127997691619695</x:v>
      </x:c>
      <x:c r="O13" s="130"/>
      <x:c r="P13" s="130"/>
      <x:c r="Q13" s="130"/>
      <x:c r="R13" s="130"/>
      <x:c r="S13" s="130"/>
      <x:c r="T13" s="130"/>
      <x:c r="U13" s="119"/>
      <x:c r="V13" s="119"/>
      <x:c r="W13" s="119"/>
      <x:c r="X13" s="119"/>
      <x:c r="Y13" s="119"/>
    </x:row>
    <x:row r="14">
      <x:c r="A14" s="119"/>
      <x:c r="B14" s="119"/>
      <x:c r="C14" s="119"/>
      <x:c r="D14" s="119"/>
      <x:c r="E14" s="119"/>
      <x:c r="F14" s="119"/>
      <x:c r="G14" s="119"/>
      <x:c r="H14" s="119" t="str">
        <x:v>2018-01</x:v>
      </x:c>
      <x:c r="I14" s="123" t="n">
        <x:v>0.9421558777092005</x:v>
      </x:c>
      <x:c r="J14" s="123" t="n">
        <x:v>0.9314985030726404</x:v>
      </x:c>
      <x:c r="K14" s="119"/>
      <x:c r="L14" s="119" t="str">
        <x:v>2017-12</x:v>
      </x:c>
      <x:c r="M14" s="124" t="n">
        <x:v>3.288191742623519</x:v>
      </x:c>
      <x:c r="N14" s="124" t="n">
        <x:v>11.690885754084666</x:v>
      </x:c>
      <x:c r="O14" s="119"/>
      <x:c r="P14" s="119"/>
      <x:c r="Q14" s="119"/>
      <x:c r="R14" s="119"/>
      <x:c r="S14" s="119"/>
      <x:c r="T14" s="119"/>
      <x:c r="U14" s="119"/>
      <x:c r="V14" s="119"/>
      <x:c r="W14" s="119"/>
      <x:c r="X14" s="119"/>
      <x:c r="Y14" s="119"/>
    </x:row>
    <x:row r="15">
      <x:c r="A15" s="119"/>
      <x:c r="B15" s="119"/>
      <x:c r="C15" s="119"/>
      <x:c r="D15" s="119"/>
      <x:c r="E15" s="119"/>
      <x:c r="F15" s="119"/>
      <x:c r="G15" s="119"/>
      <x:c r="H15" s="119" t="str">
        <x:v>2018-02</x:v>
      </x:c>
      <x:c r="I15" s="123" t="n">
        <x:v>0.8578016910069177</x:v>
      </x:c>
      <x:c r="J15" s="123" t="n">
        <x:v>0.9314985030726404</x:v>
      </x:c>
      <x:c r="K15" s="119"/>
      <x:c r="L15" s="119" t="str">
        <x:v>2018-01</x:v>
      </x:c>
      <x:c r="M15" s="124" t="n">
        <x:v>3.2073260204789262</x:v>
      </x:c>
      <x:c r="N15" s="124" t="n">
        <x:v>10.512537886943209</x:v>
      </x:c>
      <x:c r="O15" s="119"/>
      <x:c r="P15" s="119"/>
      <x:c r="Q15" s="119"/>
      <x:c r="R15" s="119"/>
      <x:c r="S15" s="119"/>
      <x:c r="T15" s="119"/>
      <x:c r="U15" s="119"/>
      <x:c r="V15" s="119"/>
      <x:c r="W15" s="119"/>
      <x:c r="X15" s="119"/>
      <x:c r="Y15" s="119"/>
    </x:row>
    <x:row r="16">
      <x:c r="A16" s="119"/>
      <x:c r="B16" s="119"/>
      <x:c r="C16" s="119"/>
      <x:c r="D16" s="119"/>
      <x:c r="E16" s="119"/>
      <x:c r="F16" s="119"/>
      <x:c r="G16" s="119"/>
      <x:c r="H16" s="119" t="str">
        <x:v>2018-03</x:v>
      </x:c>
      <x:c r="I16" s="123" t="n">
        <x:v>0.8084767828728483</x:v>
      </x:c>
      <x:c r="J16" s="123" t="n">
        <x:v>0.9314985030726404</x:v>
      </x:c>
      <x:c r="K16" s="119"/>
      <x:c r="L16" s="119" t="str">
        <x:v>2018-02</x:v>
      </x:c>
      <x:c r="M16" s="124" t="n">
        <x:v>3.1750104296792556</x:v>
      </x:c>
      <x:c r="N16" s="124" t="n">
        <x:v>13.413212005722094</x:v>
      </x:c>
      <x:c r="O16" s="119"/>
      <x:c r="P16" s="119"/>
      <x:c r="Q16" s="119"/>
      <x:c r="R16" s="119"/>
      <x:c r="S16" s="119"/>
      <x:c r="T16" s="119"/>
      <x:c r="U16" s="119"/>
      <x:c r="V16" s="119"/>
      <x:c r="W16" s="119"/>
      <x:c r="X16" s="119"/>
      <x:c r="Y16" s="119"/>
    </x:row>
    <x:row r="17">
      <x:c r="A17" s="119"/>
      <x:c r="B17" s="119"/>
      <x:c r="C17" s="119"/>
      <x:c r="D17" s="119"/>
      <x:c r="E17" s="119"/>
      <x:c r="F17" s="119"/>
      <x:c r="G17" s="119"/>
      <x:c r="H17" s="119" t="str">
        <x:v>2018-04</x:v>
      </x:c>
      <x:c r="I17" s="123" t="n">
        <x:v>0.9541229385307346</x:v>
      </x:c>
      <x:c r="J17" s="123" t="n">
        <x:v>0.9314985030726404</x:v>
      </x:c>
      <x:c r="K17" s="119"/>
      <x:c r="L17" s="119" t="str">
        <x:v>2018-03</x:v>
      </x:c>
      <x:c r="M17" s="124" t="n">
        <x:v>2.993407554113946</x:v>
      </x:c>
      <x:c r="N17" s="124" t="n">
        <x:v>13.014101448023316</x:v>
      </x:c>
      <x:c r="O17" s="119"/>
      <x:c r="P17" s="119"/>
      <x:c r="Q17" s="119"/>
      <x:c r="R17" s="119"/>
      <x:c r="S17" s="119"/>
      <x:c r="T17" s="119"/>
      <x:c r="U17" s="119"/>
      <x:c r="V17" s="119"/>
      <x:c r="W17" s="119"/>
      <x:c r="X17" s="119"/>
      <x:c r="Y17" s="119"/>
    </x:row>
    <x:row r="18">
      <x:c r="A18" s="119"/>
      <x:c r="B18" s="119"/>
      <x:c r="C18" s="119"/>
      <x:c r="D18" s="119"/>
      <x:c r="E18" s="119"/>
      <x:c r="F18" s="119"/>
      <x:c r="G18" s="119"/>
      <x:c r="H18" s="119" t="str">
        <x:v>2018-05</x:v>
      </x:c>
      <x:c r="I18" s="123" t="n">
        <x:v>0.93344375847011</x:v>
      </x:c>
      <x:c r="J18" s="123" t="n">
        <x:v>0.9314985030726404</x:v>
      </x:c>
      <x:c r="K18" s="119"/>
      <x:c r="L18" s="119" t="str">
        <x:v>2018-04</x:v>
      </x:c>
      <x:c r="M18" s="124" t="n">
        <x:v>2.3999256899978247</x:v>
      </x:c>
      <x:c r="N18" s="124" t="n">
        <x:v>8.709888283288912</x:v>
      </x:c>
      <x:c r="O18" s="119"/>
      <x:c r="P18" s="119"/>
      <x:c r="Q18" s="119"/>
      <x:c r="R18" s="119"/>
      <x:c r="S18" s="119"/>
      <x:c r="T18" s="119"/>
      <x:c r="U18" s="119"/>
      <x:c r="V18" s="119"/>
      <x:c r="W18" s="119"/>
      <x:c r="X18" s="119"/>
      <x:c r="Y18" s="119"/>
    </x:row>
    <x:row r="19">
      <x:c r="A19" s="119"/>
      <x:c r="B19" s="119"/>
      <x:c r="C19" s="119"/>
      <x:c r="D19" s="119"/>
      <x:c r="E19" s="119"/>
      <x:c r="F19" s="119"/>
      <x:c r="G19" s="119"/>
      <x:c r="H19" s="119" t="str">
        <x:v>2018-06</x:v>
      </x:c>
      <x:c r="I19" s="123" t="n">
        <x:v>0.9881449323760227</x:v>
      </x:c>
      <x:c r="J19" s="123" t="n">
        <x:v>0.9314985030726404</x:v>
      </x:c>
      <x:c r="K19" s="119"/>
      <x:c r="L19" s="119" t="str">
        <x:v>2018-05</x:v>
      </x:c>
      <x:c r="M19" s="124" t="n">
        <x:v>2.348392161315308</x:v>
      </x:c>
      <x:c r="N19" s="124" t="n">
        <x:v>8.756612036200483</x:v>
      </x:c>
      <x:c r="O19" s="119"/>
      <x:c r="P19" s="119"/>
      <x:c r="Q19" s="119"/>
      <x:c r="R19" s="119"/>
      <x:c r="S19" s="119"/>
      <x:c r="T19" s="119"/>
      <x:c r="U19" s="119"/>
      <x:c r="V19" s="119"/>
      <x:c r="W19" s="119"/>
      <x:c r="X19" s="119"/>
      <x:c r="Y19" s="119"/>
    </x:row>
    <x:row r="20">
      <x:c r="A20" s="119"/>
      <x:c r="B20" s="119"/>
      <x:c r="C20" s="119"/>
      <x:c r="D20" s="119"/>
      <x:c r="E20" s="119"/>
      <x:c r="F20" s="119"/>
      <x:c r="G20" s="119"/>
      <x:c r="H20" s="119" t="str">
        <x:v>2018-07</x:v>
      </x:c>
      <x:c r="I20" s="123" t="n">
        <x:v>0.9656709027892392</x:v>
      </x:c>
      <x:c r="J20" s="123" t="n">
        <x:v>0.9314985030726404</x:v>
      </x:c>
      <x:c r="K20" s="119"/>
      <x:c r="L20" s="119" t="str">
        <x:v>2018-06</x:v>
      </x:c>
      <x:c r="M20" s="124" t="n">
        <x:v>2.2611355312438866</x:v>
      </x:c>
      <x:c r="N20" s="124" t="n">
        <x:v>6.696346498286983</x:v>
      </x:c>
      <x:c r="O20" s="119"/>
      <x:c r="P20" s="119"/>
      <x:c r="Q20" s="119"/>
      <x:c r="R20" s="119"/>
      <x:c r="S20" s="119"/>
      <x:c r="T20" s="119"/>
      <x:c r="U20" s="119"/>
      <x:c r="V20" s="119"/>
      <x:c r="W20" s="119"/>
      <x:c r="X20" s="119"/>
      <x:c r="Y20" s="119"/>
    </x:row>
    <x:row r="21">
      <x:c r="A21" s="119"/>
      <x:c r="B21" s="119"/>
      <x:c r="C21" s="119"/>
      <x:c r="D21" s="119"/>
      <x:c r="E21" s="119"/>
      <x:c r="F21" s="119"/>
      <x:c r="G21" s="119"/>
      <x:c r="H21" s="119" t="str">
        <x:v>2018-08</x:v>
      </x:c>
      <x:c r="I21" s="123" t="n">
        <x:v>0.9370091360794999</x:v>
      </x:c>
      <x:c r="J21" s="123" t="n">
        <x:v>0.9314985030726404</x:v>
      </x:c>
      <x:c r="K21" s="119"/>
      <x:c r="L21" s="119" t="str">
        <x:v>2018-07</x:v>
      </x:c>
      <x:c r="M21" s="124" t="n">
        <x:v>2.6302649104523312</x:v>
      </x:c>
      <x:c r="N21" s="124" t="n">
        <x:v>6.152332062267335</x:v>
      </x:c>
      <x:c r="O21" s="119"/>
      <x:c r="P21" s="119"/>
      <x:c r="Q21" s="119"/>
      <x:c r="R21" s="119"/>
      <x:c r="S21" s="119"/>
      <x:c r="T21" s="119"/>
      <x:c r="U21" s="119"/>
      <x:c r="V21" s="119"/>
      <x:c r="W21" s="119"/>
      <x:c r="X21" s="119"/>
      <x:c r="Y21" s="119"/>
    </x:row>
    <x:row r="22">
      <x:c r="A22" s="119"/>
      <x:c r="B22" s="119"/>
      <x:c r="C22" s="119"/>
      <x:c r="D22" s="119"/>
      <x:c r="E22" s="119"/>
      <x:c r="F22" s="119"/>
      <x:c r="G22" s="119"/>
      <x:c r="H22" s="119"/>
      <x:c r="I22" s="119"/>
      <x:c r="J22" s="119"/>
      <x:c r="K22" s="119"/>
      <x:c r="L22" s="119" t="str">
        <x:v>2018-08</x:v>
      </x:c>
      <x:c r="M22" s="124" t="n">
        <x:v>2.214547157299077</x:v>
      </x:c>
      <x:c r="N22" s="124" t="n">
        <x:v>5.217998601612913</x:v>
      </x:c>
      <x:c r="O22" s="119"/>
      <x:c r="P22" s="119"/>
      <x:c r="Q22" s="119"/>
      <x:c r="R22" s="119"/>
      <x:c r="S22" s="119"/>
      <x:c r="T22" s="119"/>
      <x:c r="U22" s="119"/>
      <x:c r="V22" s="119"/>
      <x:c r="W22" s="119"/>
      <x:c r="X22" s="119"/>
      <x:c r="Y22" s="119"/>
    </x:row>
    <x:row r="23">
      <x:c r="A23" s="119"/>
      <x:c r="B23" s="119"/>
      <x:c r="C23" s="119"/>
      <x:c r="D23" s="119"/>
      <x:c r="E23" s="119"/>
      <x:c r="F23" s="119"/>
      <x:c r="G23" s="119"/>
      <x:c r="H23" s="119"/>
      <x:c r="I23" s="119"/>
      <x:c r="J23" s="119"/>
      <x:c r="K23" s="119"/>
      <x:c r="L23" s="119"/>
      <x:c r="M23" s="119"/>
      <x:c r="N23" s="119"/>
      <x:c r="O23" s="119"/>
      <x:c r="P23" s="119"/>
      <x:c r="Q23" s="119"/>
      <x:c r="R23" s="119"/>
      <x:c r="S23" s="119"/>
      <x:c r="T23" s="119"/>
      <x:c r="U23" s="119"/>
      <x:c r="V23" s="119"/>
      <x:c r="W23" s="119"/>
      <x:c r="X23" s="119"/>
      <x:c r="Y23" s="119"/>
    </x:row>
    <x:row r="24">
      <x:c r="A24" s="119"/>
      <x:c r="B24" s="119"/>
      <x:c r="C24" s="119"/>
      <x:c r="D24" s="119"/>
      <x:c r="E24" s="119"/>
      <x:c r="F24" s="119"/>
      <x:c r="G24" s="119"/>
      <x:c r="H24" s="119"/>
      <x:c r="I24" s="119"/>
      <x:c r="J24" s="119"/>
      <x:c r="K24" s="119"/>
      <x:c r="L24" s="119"/>
      <x:c r="M24" s="119"/>
      <x:c r="N24" s="119"/>
      <x:c r="O24" s="119"/>
      <x:c r="P24" s="119"/>
      <x:c r="Q24" s="119"/>
      <x:c r="R24" s="119"/>
      <x:c r="S24" s="119"/>
      <x:c r="T24" s="119"/>
      <x:c r="U24" s="119"/>
      <x:c r="V24" s="119"/>
      <x:c r="W24" s="119"/>
      <x:c r="X24" s="119"/>
      <x:c r="Y24" s="119"/>
    </x:row>
    <x:row r="25">
      <x:c r="A25" s="119"/>
      <x:c r="B25" s="119"/>
      <x:c r="C25" s="119"/>
      <x:c r="D25" s="119"/>
      <x:c r="E25" s="119"/>
      <x:c r="F25" s="119"/>
      <x:c r="G25" s="119"/>
      <x:c r="H25" s="119"/>
      <x:c r="I25" s="119"/>
      <x:c r="J25" s="119"/>
      <x:c r="K25" s="119"/>
      <x:c r="L25" s="119"/>
      <x:c r="M25" s="119"/>
      <x:c r="N25" s="119"/>
      <x:c r="O25" s="119"/>
      <x:c r="P25" s="119"/>
      <x:c r="Q25" s="119"/>
      <x:c r="R25" s="119"/>
      <x:c r="S25" s="119"/>
      <x:c r="T25" s="119"/>
      <x:c r="U25" s="119"/>
      <x:c r="V25" s="119"/>
      <x:c r="W25" s="119"/>
      <x:c r="X25" s="119"/>
      <x:c r="Y25" s="119"/>
    </x:row>
    <x:row r="26">
      <x:c r="A26" s="119"/>
      <x:c r="B26" s="119"/>
      <x:c r="C26" s="119"/>
      <x:c r="D26" s="119"/>
      <x:c r="E26" s="119"/>
      <x:c r="F26" s="119"/>
      <x:c r="G26" s="119"/>
      <x:c r="H26" s="119"/>
      <x:c r="I26" s="119"/>
      <x:c r="J26" s="119"/>
      <x:c r="K26" s="119"/>
      <x:c r="L26" s="119"/>
      <x:c r="M26" s="119"/>
      <x:c r="N26" s="119"/>
      <x:c r="O26" s="119"/>
      <x:c r="P26" s="119"/>
      <x:c r="Q26" s="119"/>
      <x:c r="R26" s="119"/>
      <x:c r="S26" s="119"/>
      <x:c r="T26" s="119"/>
      <x:c r="U26" s="119"/>
      <x:c r="V26" s="119"/>
      <x:c r="W26" s="119"/>
      <x:c r="X26" s="119"/>
      <x:c r="Y26" s="119"/>
    </x:row>
    <x:row r="27">
      <x:c r="A27" s="119"/>
      <x:c r="B27" s="119"/>
      <x:c r="C27" s="119"/>
      <x:c r="D27" s="119"/>
      <x:c r="E27" s="119"/>
      <x:c r="F27" s="119"/>
      <x:c r="G27" s="119"/>
      <x:c r="H27" s="119"/>
      <x:c r="I27" s="119"/>
      <x:c r="J27" s="119"/>
      <x:c r="K27" s="119"/>
      <x:c r="L27" s="119"/>
      <x:c r="M27" s="119"/>
      <x:c r="N27" s="119"/>
      <x:c r="O27" s="119"/>
      <x:c r="P27" s="119"/>
      <x:c r="Q27" s="119"/>
      <x:c r="R27" s="119"/>
      <x:c r="S27" s="119"/>
      <x:c r="T27" s="119"/>
      <x:c r="U27" s="119"/>
      <x:c r="V27" s="119"/>
      <x:c r="W27" s="119"/>
      <x:c r="X27" s="119"/>
      <x:c r="Y27" s="119"/>
    </x:row>
    <x:row r="28">
      <x:c r="A28" s="119"/>
      <x:c r="B28" s="119"/>
      <x:c r="C28" s="119"/>
      <x:c r="D28" s="119"/>
      <x:c r="E28" s="119"/>
      <x:c r="F28" s="119"/>
      <x:c r="G28" s="119"/>
      <x:c r="H28" s="119"/>
      <x:c r="I28" s="119"/>
      <x:c r="J28" s="119"/>
      <x:c r="K28" s="119"/>
      <x:c r="L28" s="119"/>
      <x:c r="M28" s="119"/>
      <x:c r="N28" s="119"/>
      <x:c r="O28" s="119"/>
      <x:c r="P28" s="119"/>
      <x:c r="Q28" s="119"/>
      <x:c r="R28" s="119"/>
      <x:c r="S28" s="119"/>
      <x:c r="T28" s="119"/>
      <x:c r="U28" s="119"/>
      <x:c r="V28" s="119"/>
      <x:c r="W28" s="119"/>
      <x:c r="X28" s="119"/>
      <x:c r="Y28" s="119"/>
    </x:row>
    <x:row r="29">
      <x:c r="A29" s="119"/>
      <x:c r="B29" s="119"/>
      <x:c r="C29" s="119"/>
      <x:c r="D29" s="119"/>
      <x:c r="E29" s="119"/>
      <x:c r="F29" s="119"/>
      <x:c r="G29" s="119"/>
      <x:c r="H29" s="119"/>
      <x:c r="I29" s="119"/>
      <x:c r="J29" s="119"/>
      <x:c r="K29" s="119"/>
      <x:c r="L29" s="119"/>
      <x:c r="M29" s="119"/>
      <x:c r="N29" s="119"/>
      <x:c r="O29" s="119"/>
      <x:c r="P29" s="119"/>
      <x:c r="Q29" s="119"/>
      <x:c r="R29" s="119"/>
      <x:c r="S29" s="119"/>
      <x:c r="T29" s="119"/>
      <x:c r="U29" s="119"/>
      <x:c r="V29" s="119"/>
      <x:c r="W29" s="119"/>
      <x:c r="X29" s="119"/>
      <x:c r="Y29" s="119"/>
    </x:row>
    <x:row r="30">
      <x:c r="A30" s="119"/>
      <x:c r="B30" s="119"/>
      <x:c r="C30" s="119"/>
      <x:c r="D30" s="119"/>
      <x:c r="E30" s="119"/>
      <x:c r="F30" s="119"/>
      <x:c r="G30" s="119"/>
      <x:c r="H30" s="119"/>
      <x:c r="I30" s="119"/>
      <x:c r="J30" s="119"/>
      <x:c r="K30" s="119"/>
      <x:c r="L30" s="119"/>
      <x:c r="M30" s="119"/>
      <x:c r="N30" s="119"/>
      <x:c r="O30" s="119"/>
      <x:c r="P30" s="119"/>
      <x:c r="Q30" s="119"/>
      <x:c r="R30" s="119"/>
      <x:c r="S30" s="119"/>
      <x:c r="T30" s="119"/>
      <x:c r="U30" s="119"/>
      <x:c r="V30" s="119"/>
      <x:c r="W30" s="119"/>
      <x:c r="X30" s="119"/>
      <x:c r="Y30" s="119"/>
    </x:row>
    <x:row r="31">
      <x:c r="A31" s="119"/>
      <x:c r="B31" s="119"/>
      <x:c r="C31" s="119"/>
      <x:c r="D31" s="119"/>
      <x:c r="E31" s="119"/>
      <x:c r="F31" s="119"/>
      <x:c r="G31" s="119"/>
      <x:c r="H31" s="119"/>
      <x:c r="I31" s="119"/>
      <x:c r="J31" s="119"/>
      <x:c r="K31" s="119"/>
      <x:c r="L31" s="119"/>
      <x:c r="M31" s="119"/>
      <x:c r="N31" s="119"/>
      <x:c r="O31" s="119"/>
      <x:c r="P31" s="119"/>
      <x:c r="Q31" s="119"/>
      <x:c r="R31" s="119"/>
      <x:c r="S31" s="119"/>
      <x:c r="T31" s="119"/>
      <x:c r="U31" s="119"/>
      <x:c r="V31" s="119"/>
      <x:c r="W31" s="119"/>
      <x:c r="X31" s="119"/>
      <x:c r="Y31" s="119"/>
    </x:row>
    <x:row r="32">
      <x:c r="A32" s="119"/>
      <x:c r="B32" s="119"/>
      <x:c r="C32" s="119"/>
      <x:c r="D32" s="119"/>
      <x:c r="E32" s="119"/>
      <x:c r="F32" s="119"/>
      <x:c r="G32" s="119"/>
      <x:c r="H32" s="119"/>
      <x:c r="I32" s="119"/>
      <x:c r="J32" s="119"/>
      <x:c r="K32" s="119"/>
      <x:c r="L32" s="119"/>
      <x:c r="M32" s="119"/>
      <x:c r="N32" s="119"/>
      <x:c r="O32" s="119"/>
      <x:c r="P32" s="119"/>
      <x:c r="Q32" s="119"/>
      <x:c r="R32" s="119"/>
      <x:c r="S32" s="119"/>
      <x:c r="T32" s="119"/>
      <x:c r="U32" s="119"/>
      <x:c r="V32" s="119"/>
      <x:c r="W32" s="119"/>
      <x:c r="X32" s="119"/>
      <x:c r="Y32" s="119"/>
    </x:row>
    <x:row r="33">
      <x:c r="A33" s="119"/>
      <x:c r="B33" s="119"/>
      <x:c r="C33" s="119"/>
      <x:c r="D33" s="119"/>
      <x:c r="E33" s="119"/>
      <x:c r="F33" s="119"/>
      <x:c r="G33" s="119"/>
      <x:c r="H33" s="119"/>
      <x:c r="I33" s="119"/>
      <x:c r="J33" s="119"/>
      <x:c r="K33" s="119"/>
      <x:c r="L33" s="119"/>
      <x:c r="M33" s="119"/>
      <x:c r="N33" s="119"/>
      <x:c r="O33" s="119"/>
      <x:c r="P33" s="119"/>
      <x:c r="Q33" s="119"/>
      <x:c r="R33" s="119"/>
      <x:c r="S33" s="119"/>
      <x:c r="T33" s="119"/>
      <x:c r="U33" s="119"/>
      <x:c r="V33" s="119"/>
      <x:c r="W33" s="119"/>
      <x:c r="X33" s="119"/>
      <x:c r="Y33" s="119"/>
    </x:row>
    <x:row r="34">
      <x:c r="A34" s="119"/>
      <x:c r="B34" s="119"/>
      <x:c r="C34" s="119"/>
      <x:c r="D34" s="119"/>
      <x:c r="E34" s="119"/>
      <x:c r="F34" s="119"/>
      <x:c r="G34" s="119"/>
      <x:c r="H34" s="119"/>
      <x:c r="I34" s="119"/>
      <x:c r="J34" s="119"/>
      <x:c r="K34" s="119"/>
      <x:c r="L34" s="119"/>
      <x:c r="M34" s="119"/>
      <x:c r="N34" s="119"/>
      <x:c r="O34" s="119"/>
      <x:c r="P34" s="119"/>
      <x:c r="Q34" s="119"/>
      <x:c r="R34" s="119"/>
      <x:c r="S34" s="119"/>
      <x:c r="T34" s="119"/>
      <x:c r="U34" s="119"/>
      <x:c r="V34" s="119"/>
      <x:c r="W34" s="119"/>
      <x:c r="X34" s="119"/>
      <x:c r="Y34" s="119"/>
    </x:row>
    <x:row r="35">
      <x:c r="A35" s="119"/>
      <x:c r="B35" s="119"/>
      <x:c r="C35" s="119"/>
      <x:c r="D35" s="119"/>
      <x:c r="E35" s="119"/>
      <x:c r="F35" s="119"/>
      <x:c r="G35" s="119"/>
      <x:c r="H35" s="119"/>
      <x:c r="I35" s="119"/>
      <x:c r="J35" s="119"/>
      <x:c r="K35" s="119"/>
      <x:c r="L35" s="119"/>
      <x:c r="M35" s="119"/>
      <x:c r="N35" s="119"/>
      <x:c r="O35" s="119"/>
      <x:c r="P35" s="119"/>
      <x:c r="Q35" s="119"/>
      <x:c r="R35" s="119"/>
      <x:c r="S35" s="119"/>
      <x:c r="T35" s="119"/>
      <x:c r="U35" s="119"/>
      <x:c r="V35" s="119"/>
      <x:c r="W35" s="119"/>
      <x:c r="X35" s="119"/>
      <x:c r="Y35" s="119"/>
    </x:row>
    <x:row r="36">
      <x:c r="A36" s="119"/>
      <x:c r="B36" s="119"/>
      <x:c r="C36" s="119"/>
      <x:c r="D36" s="119"/>
      <x:c r="E36" s="119"/>
      <x:c r="F36" s="119"/>
      <x:c r="G36" s="119"/>
      <x:c r="H36" s="119"/>
      <x:c r="I36" s="119"/>
      <x:c r="J36" s="119"/>
      <x:c r="K36" s="119"/>
      <x:c r="L36" s="119"/>
      <x:c r="M36" s="119"/>
      <x:c r="N36" s="119"/>
      <x:c r="O36" s="119"/>
      <x:c r="P36" s="119"/>
      <x:c r="Q36" s="119"/>
      <x:c r="R36" s="119"/>
      <x:c r="S36" s="119"/>
      <x:c r="T36" s="119"/>
      <x:c r="U36" s="119"/>
      <x:c r="V36" s="119"/>
      <x:c r="W36" s="119"/>
      <x:c r="X36" s="119"/>
      <x:c r="Y36" s="119"/>
    </x:row>
    <x:row r="37">
      <x:c r="A37" s="119"/>
      <x:c r="B37" s="119"/>
      <x:c r="C37" s="119"/>
      <x:c r="D37" s="119"/>
      <x:c r="E37" s="119"/>
      <x:c r="F37" s="119"/>
      <x:c r="G37" s="119"/>
      <x:c r="H37" s="119"/>
      <x:c r="I37" s="119"/>
      <x:c r="J37" s="119"/>
      <x:c r="K37" s="119"/>
      <x:c r="L37" s="119"/>
      <x:c r="M37" s="119"/>
      <x:c r="N37" s="119"/>
      <x:c r="O37" s="119"/>
      <x:c r="P37" s="119"/>
      <x:c r="Q37" s="119"/>
      <x:c r="R37" s="119"/>
      <x:c r="S37" s="119"/>
      <x:c r="T37" s="119"/>
      <x:c r="U37" s="119"/>
      <x:c r="V37" s="119"/>
      <x:c r="W37" s="119"/>
      <x:c r="X37" s="119"/>
      <x:c r="Y37" s="119"/>
    </x:row>
    <x:row r="38">
      <x:c r="A38" s="119"/>
      <x:c r="B38" s="119"/>
      <x:c r="C38" s="119"/>
      <x:c r="D38" s="119"/>
      <x:c r="E38" s="119"/>
      <x:c r="F38" s="119"/>
      <x:c r="G38" s="119"/>
      <x:c r="H38" s="119"/>
      <x:c r="I38" s="119"/>
      <x:c r="J38" s="119"/>
      <x:c r="K38" s="119"/>
      <x:c r="L38" s="119"/>
      <x:c r="M38" s="119"/>
      <x:c r="N38" s="119"/>
      <x:c r="O38" s="119"/>
      <x:c r="P38" s="119"/>
      <x:c r="Q38" s="119"/>
      <x:c r="R38" s="119"/>
      <x:c r="S38" s="119"/>
      <x:c r="T38" s="119"/>
      <x:c r="U38" s="119"/>
      <x:c r="V38" s="119"/>
      <x:c r="W38" s="119"/>
      <x:c r="X38" s="119"/>
      <x:c r="Y38" s="119"/>
    </x:row>
    <x:row r="39">
      <x:c r="A39" s="119"/>
      <x:c r="B39" s="119"/>
      <x:c r="C39" s="119"/>
      <x:c r="D39" s="119"/>
      <x:c r="E39" s="119"/>
      <x:c r="F39" s="119"/>
      <x:c r="G39" s="119"/>
      <x:c r="H39" s="119"/>
      <x:c r="I39" s="119"/>
      <x:c r="J39" s="119"/>
      <x:c r="K39" s="119"/>
      <x:c r="L39" s="119"/>
      <x:c r="M39" s="119"/>
      <x:c r="N39" s="119"/>
      <x:c r="O39" s="119"/>
      <x:c r="P39" s="119"/>
      <x:c r="Q39" s="119"/>
      <x:c r="R39" s="119"/>
      <x:c r="S39" s="119"/>
      <x:c r="T39" s="119"/>
      <x:c r="U39" s="119"/>
      <x:c r="V39" s="119"/>
      <x:c r="W39" s="119"/>
      <x:c r="X39" s="119"/>
      <x:c r="Y39" s="119"/>
    </x:row>
    <x:row r="40">
      <x:c r="A40" s="119"/>
      <x:c r="B40" s="119"/>
      <x:c r="C40" s="119"/>
      <x:c r="D40" s="119"/>
      <x:c r="E40" s="119"/>
      <x:c r="F40" s="119"/>
      <x:c r="G40" s="119"/>
      <x:c r="H40" s="119"/>
      <x:c r="I40" s="119"/>
      <x:c r="J40" s="119"/>
      <x:c r="K40" s="119"/>
      <x:c r="L40" s="119"/>
      <x:c r="M40" s="119"/>
      <x:c r="N40" s="119"/>
      <x:c r="O40" s="119"/>
      <x:c r="P40" s="119"/>
      <x:c r="Q40" s="119"/>
      <x:c r="R40" s="119"/>
      <x:c r="S40" s="119"/>
      <x:c r="T40" s="119"/>
      <x:c r="U40" s="119"/>
      <x:c r="V40" s="119"/>
      <x:c r="W40" s="119"/>
      <x:c r="X40" s="119"/>
      <x:c r="Y40" s="119"/>
    </x:row>
    <x:row r="41">
      <x:c r="A41" s="119"/>
      <x:c r="B41" s="119"/>
      <x:c r="C41" s="119"/>
      <x:c r="D41" s="119"/>
      <x:c r="E41" s="119"/>
      <x:c r="F41" s="119"/>
      <x:c r="G41" s="119"/>
      <x:c r="H41" s="119"/>
      <x:c r="I41" s="119"/>
      <x:c r="J41" s="119"/>
      <x:c r="K41" s="119"/>
      <x:c r="L41" s="119"/>
      <x:c r="M41" s="119"/>
      <x:c r="N41" s="119"/>
      <x:c r="O41" s="119"/>
      <x:c r="P41" s="119"/>
      <x:c r="Q41" s="119"/>
      <x:c r="R41" s="119"/>
      <x:c r="S41" s="119"/>
      <x:c r="T41" s="119"/>
      <x:c r="U41" s="119"/>
      <x:c r="V41" s="119"/>
      <x:c r="W41" s="119"/>
      <x:c r="X41" s="119"/>
      <x:c r="Y41" s="119"/>
    </x:row>
    <x:row r="42">
      <x:c r="A42" s="119"/>
      <x:c r="B42" s="119"/>
      <x:c r="C42" s="119"/>
      <x:c r="D42" s="119"/>
      <x:c r="E42" s="119"/>
      <x:c r="F42" s="119"/>
      <x:c r="G42" s="119"/>
      <x:c r="H42" s="119"/>
      <x:c r="I42" s="119"/>
      <x:c r="J42" s="119"/>
      <x:c r="K42" s="119"/>
      <x:c r="L42" s="119"/>
      <x:c r="M42" s="119"/>
      <x:c r="N42" s="119"/>
      <x:c r="O42" s="119"/>
      <x:c r="P42" s="119"/>
      <x:c r="Q42" s="119"/>
      <x:c r="R42" s="119"/>
      <x:c r="S42" s="119"/>
      <x:c r="T42" s="119"/>
      <x:c r="U42" s="119"/>
      <x:c r="V42" s="119"/>
      <x:c r="W42" s="119"/>
      <x:c r="X42" s="119"/>
      <x:c r="Y42" s="119"/>
    </x:row>
    <x:row r="43">
      <x:c r="A43" s="119"/>
      <x:c r="B43" s="119"/>
      <x:c r="C43" s="119"/>
      <x:c r="D43" s="119"/>
      <x:c r="E43" s="119"/>
      <x:c r="F43" s="119"/>
      <x:c r="G43" s="119"/>
      <x:c r="H43" s="119"/>
      <x:c r="I43" s="119"/>
      <x:c r="J43" s="119"/>
      <x:c r="K43" s="119"/>
      <x:c r="L43" s="119"/>
      <x:c r="M43" s="119"/>
      <x:c r="N43" s="119"/>
      <x:c r="O43" s="119"/>
      <x:c r="P43" s="119"/>
      <x:c r="Q43" s="119"/>
      <x:c r="R43" s="119"/>
      <x:c r="S43" s="119"/>
      <x:c r="T43" s="119"/>
      <x:c r="U43" s="119"/>
      <x:c r="V43" s="119"/>
      <x:c r="W43" s="119"/>
      <x:c r="X43" s="119"/>
      <x:c r="Y43" s="119"/>
    </x:row>
    <x:row r="44">
      <x:c r="A44" s="119"/>
      <x:c r="B44" s="119"/>
      <x:c r="C44" s="119"/>
      <x:c r="D44" s="119"/>
      <x:c r="E44" s="119"/>
      <x:c r="F44" s="119"/>
      <x:c r="G44" s="119"/>
      <x:c r="H44" s="119"/>
      <x:c r="I44" s="119"/>
      <x:c r="J44" s="119"/>
      <x:c r="K44" s="119"/>
      <x:c r="L44" s="119"/>
      <x:c r="M44" s="119"/>
      <x:c r="N44" s="119"/>
      <x:c r="O44" s="119"/>
      <x:c r="P44" s="119"/>
      <x:c r="Q44" s="119"/>
      <x:c r="R44" s="119"/>
      <x:c r="S44" s="119"/>
      <x:c r="T44" s="119"/>
      <x:c r="U44" s="119"/>
      <x:c r="V44" s="119"/>
      <x:c r="W44" s="119"/>
      <x:c r="X44" s="119"/>
      <x:c r="Y44" s="119"/>
    </x:row>
    <x:row r="45">
      <x:c r="A45" s="119"/>
      <x:c r="B45" s="119"/>
      <x:c r="C45" s="119"/>
      <x:c r="D45" s="119"/>
      <x:c r="E45" s="119"/>
      <x:c r="F45" s="119"/>
      <x:c r="G45" s="119"/>
      <x:c r="H45" s="119"/>
      <x:c r="I45" s="119"/>
      <x:c r="J45" s="119"/>
      <x:c r="K45" s="119"/>
      <x:c r="L45" s="119"/>
      <x:c r="M45" s="119"/>
      <x:c r="N45" s="119"/>
      <x:c r="O45" s="119"/>
      <x:c r="P45" s="119"/>
      <x:c r="Q45" s="119"/>
      <x:c r="R45" s="119"/>
      <x:c r="S45" s="119"/>
      <x:c r="T45" s="119"/>
      <x:c r="U45" s="119"/>
      <x:c r="V45" s="119"/>
      <x:c r="W45" s="119"/>
      <x:c r="X45" s="119"/>
      <x:c r="Y45" s="119"/>
    </x:row>
    <x:row r="46">
      <x:c r="A46" s="119"/>
      <x:c r="B46" s="119"/>
      <x:c r="C46" s="119"/>
      <x:c r="D46" s="119"/>
      <x:c r="E46" s="119"/>
      <x:c r="F46" s="119"/>
      <x:c r="G46" s="119"/>
      <x:c r="H46" s="119"/>
      <x:c r="I46" s="119"/>
      <x:c r="J46" s="119"/>
      <x:c r="K46" s="119"/>
      <x:c r="L46" s="119"/>
      <x:c r="M46" s="119"/>
      <x:c r="N46" s="119"/>
      <x:c r="O46" s="119"/>
      <x:c r="P46" s="119"/>
      <x:c r="Q46" s="119"/>
      <x:c r="R46" s="119"/>
      <x:c r="S46" s="119"/>
      <x:c r="T46" s="119"/>
      <x:c r="U46" s="119"/>
      <x:c r="V46" s="119"/>
      <x:c r="W46" s="119"/>
      <x:c r="X46" s="119"/>
      <x:c r="Y46" s="119"/>
    </x:row>
    <x:row r="47">
      <x:c r="A47" s="119"/>
      <x:c r="B47" s="119"/>
      <x:c r="C47" s="119"/>
      <x:c r="D47" s="119"/>
      <x:c r="E47" s="119"/>
      <x:c r="F47" s="119"/>
      <x:c r="G47" s="119"/>
      <x:c r="H47" s="119"/>
      <x:c r="I47" s="119"/>
      <x:c r="J47" s="119"/>
      <x:c r="K47" s="119"/>
      <x:c r="L47" s="119"/>
      <x:c r="M47" s="119"/>
      <x:c r="N47" s="119"/>
      <x:c r="O47" s="119"/>
      <x:c r="P47" s="119"/>
      <x:c r="Q47" s="119"/>
      <x:c r="R47" s="119"/>
      <x:c r="S47" s="119"/>
      <x:c r="T47" s="119"/>
      <x:c r="U47" s="119"/>
      <x:c r="V47" s="119"/>
      <x:c r="W47" s="119"/>
      <x:c r="X47" s="119"/>
      <x:c r="Y47" s="119"/>
    </x:row>
    <x:row r="48">
      <x:c r="A48" s="119"/>
      <x:c r="B48" s="119"/>
      <x:c r="C48" s="119"/>
      <x:c r="D48" s="119"/>
      <x:c r="E48" s="119"/>
      <x:c r="F48" s="119"/>
      <x:c r="G48" s="119"/>
      <x:c r="H48" s="119"/>
      <x:c r="I48" s="119"/>
      <x:c r="J48" s="119"/>
      <x:c r="K48" s="119"/>
      <x:c r="L48" s="119"/>
      <x:c r="M48" s="119"/>
      <x:c r="N48" s="119"/>
      <x:c r="O48" s="119"/>
      <x:c r="P48" s="119"/>
      <x:c r="Q48" s="119"/>
      <x:c r="R48" s="119"/>
      <x:c r="S48" s="119"/>
      <x:c r="T48" s="119"/>
      <x:c r="U48" s="119"/>
      <x:c r="V48" s="119"/>
      <x:c r="W48" s="119"/>
      <x:c r="X48" s="119"/>
      <x:c r="Y48" s="119"/>
    </x:row>
    <x:row r="49">
      <x:c r="A49" s="119"/>
      <x:c r="B49" s="119"/>
      <x:c r="C49" s="119"/>
      <x:c r="D49" s="119"/>
      <x:c r="E49" s="119"/>
      <x:c r="F49" s="119"/>
      <x:c r="G49" s="119"/>
      <x:c r="H49" s="119"/>
      <x:c r="I49" s="119"/>
      <x:c r="J49" s="119"/>
      <x:c r="K49" s="119"/>
      <x:c r="L49" s="119"/>
      <x:c r="M49" s="119"/>
      <x:c r="N49" s="119"/>
      <x:c r="O49" s="119"/>
      <x:c r="P49" s="119"/>
      <x:c r="Q49" s="119"/>
      <x:c r="R49" s="119"/>
      <x:c r="S49" s="119"/>
      <x:c r="T49" s="119"/>
      <x:c r="U49" s="119"/>
      <x:c r="V49" s="119"/>
      <x:c r="W49" s="119"/>
      <x:c r="X49" s="119"/>
      <x:c r="Y49" s="119"/>
    </x:row>
    <x:row r="50">
      <x:c r="A50" s="119"/>
      <x:c r="B50" s="119"/>
      <x:c r="C50" s="119"/>
      <x:c r="D50" s="119"/>
      <x:c r="E50" s="119"/>
      <x:c r="F50" s="119"/>
      <x:c r="G50" s="119"/>
      <x:c r="H50" s="119"/>
      <x:c r="I50" s="119"/>
      <x:c r="J50" s="119"/>
      <x:c r="K50" s="119"/>
      <x:c r="L50" s="119"/>
      <x:c r="M50" s="119"/>
      <x:c r="N50" s="119"/>
      <x:c r="O50" s="119"/>
      <x:c r="P50" s="119"/>
      <x:c r="Q50" s="119"/>
      <x:c r="R50" s="119"/>
      <x:c r="S50" s="119"/>
      <x:c r="T50" s="119"/>
      <x:c r="U50" s="119"/>
      <x:c r="V50" s="119"/>
      <x:c r="W50" s="119"/>
      <x:c r="X50" s="119"/>
      <x:c r="Y50" s="119"/>
    </x:row>
    <x:row r="51">
      <x:c r="A51" s="119"/>
      <x:c r="B51" s="119"/>
      <x:c r="C51" s="119"/>
      <x:c r="D51" s="119"/>
      <x:c r="E51" s="119"/>
      <x:c r="F51" s="119"/>
      <x:c r="G51" s="119"/>
      <x:c r="H51" s="119"/>
      <x:c r="I51" s="119"/>
      <x:c r="J51" s="119"/>
      <x:c r="K51" s="119"/>
      <x:c r="L51" s="119"/>
      <x:c r="M51" s="119"/>
      <x:c r="N51" s="119"/>
      <x:c r="O51" s="119"/>
      <x:c r="P51" s="119"/>
      <x:c r="Q51" s="119"/>
      <x:c r="R51" s="119"/>
      <x:c r="S51" s="119"/>
      <x:c r="T51" s="119"/>
      <x:c r="U51" s="119"/>
      <x:c r="V51" s="119"/>
      <x:c r="W51" s="119"/>
      <x:c r="X51" s="119"/>
      <x:c r="Y51" s="119"/>
    </x:row>
    <x:row r="52">
      <x:c r="A52" s="119"/>
      <x:c r="B52" s="119"/>
      <x:c r="C52" s="119"/>
      <x:c r="D52" s="119"/>
      <x:c r="E52" s="119"/>
      <x:c r="F52" s="119"/>
      <x:c r="G52" s="119"/>
      <x:c r="H52" s="119"/>
      <x:c r="I52" s="119"/>
      <x:c r="J52" s="119"/>
      <x:c r="K52" s="119"/>
      <x:c r="L52" s="119"/>
      <x:c r="M52" s="119"/>
      <x:c r="N52" s="119"/>
      <x:c r="O52" s="119"/>
      <x:c r="P52" s="119"/>
      <x:c r="Q52" s="119"/>
      <x:c r="R52" s="119"/>
      <x:c r="S52" s="119"/>
      <x:c r="T52" s="119"/>
      <x:c r="U52" s="119"/>
      <x:c r="V52" s="119"/>
      <x:c r="W52" s="119"/>
      <x:c r="X52" s="119"/>
      <x:c r="Y52" s="119"/>
    </x:row>
    <x:row r="53">
      <x:c r="A53" s="119"/>
      <x:c r="B53" s="119"/>
      <x:c r="C53" s="119"/>
      <x:c r="D53" s="119"/>
      <x:c r="E53" s="119"/>
      <x:c r="F53" s="119"/>
      <x:c r="G53" s="119"/>
      <x:c r="H53" s="119"/>
      <x:c r="I53" s="119"/>
      <x:c r="J53" s="119"/>
      <x:c r="K53" s="119"/>
      <x:c r="L53" s="119"/>
      <x:c r="M53" s="119"/>
      <x:c r="N53" s="119"/>
      <x:c r="O53" s="119"/>
      <x:c r="P53" s="119"/>
      <x:c r="Q53" s="119"/>
      <x:c r="R53" s="119"/>
      <x:c r="S53" s="119"/>
      <x:c r="T53" s="119"/>
      <x:c r="U53" s="119"/>
      <x:c r="V53" s="119"/>
      <x:c r="W53" s="119"/>
      <x:c r="X53" s="119"/>
      <x:c r="Y53" s="119"/>
    </x:row>
    <x:row r="54">
      <x:c r="A54" s="119"/>
      <x:c r="B54" s="119"/>
      <x:c r="C54" s="119"/>
      <x:c r="D54" s="119"/>
      <x:c r="E54" s="119"/>
      <x:c r="F54" s="119"/>
      <x:c r="G54" s="119"/>
      <x:c r="H54" s="119"/>
      <x:c r="I54" s="119"/>
      <x:c r="J54" s="119"/>
      <x:c r="K54" s="119"/>
      <x:c r="L54" s="119"/>
      <x:c r="M54" s="119"/>
      <x:c r="N54" s="119"/>
      <x:c r="O54" s="119"/>
      <x:c r="P54" s="119"/>
      <x:c r="Q54" s="119"/>
      <x:c r="R54" s="119"/>
      <x:c r="S54" s="119"/>
      <x:c r="T54" s="119"/>
      <x:c r="U54" s="119"/>
      <x:c r="V54" s="119"/>
      <x:c r="W54" s="119"/>
      <x:c r="X54" s="119"/>
      <x:c r="Y54" s="119"/>
    </x:row>
    <x:row r="55">
      <x:c r="A55" s="119"/>
      <x:c r="B55" s="119"/>
      <x:c r="C55" s="119"/>
      <x:c r="D55" s="119"/>
      <x:c r="E55" s="119"/>
      <x:c r="F55" s="119"/>
      <x:c r="G55" s="119"/>
      <x:c r="H55" s="119"/>
      <x:c r="I55" s="119"/>
      <x:c r="J55" s="119"/>
      <x:c r="K55" s="119"/>
      <x:c r="L55" s="119"/>
      <x:c r="M55" s="119"/>
      <x:c r="N55" s="119"/>
      <x:c r="O55" s="119"/>
      <x:c r="P55" s="119"/>
      <x:c r="Q55" s="119"/>
      <x:c r="R55" s="119"/>
      <x:c r="S55" s="119"/>
      <x:c r="T55" s="119"/>
      <x:c r="U55" s="119"/>
      <x:c r="V55" s="119"/>
      <x:c r="W55" s="119"/>
      <x:c r="X55" s="119"/>
      <x:c r="Y55" s="119"/>
    </x:row>
    <x:row r="56">
      <x:c r="A56" s="119"/>
      <x:c r="B56" s="119"/>
      <x:c r="C56" s="119"/>
      <x:c r="D56" s="119"/>
      <x:c r="E56" s="119"/>
      <x:c r="F56" s="119"/>
      <x:c r="G56" s="119"/>
      <x:c r="H56" s="119"/>
      <x:c r="I56" s="119"/>
      <x:c r="J56" s="119"/>
      <x:c r="K56" s="119"/>
      <x:c r="L56" s="119"/>
      <x:c r="M56" s="119"/>
      <x:c r="N56" s="119"/>
      <x:c r="O56" s="119"/>
      <x:c r="P56" s="119"/>
      <x:c r="Q56" s="119"/>
      <x:c r="R56" s="119"/>
      <x:c r="S56" s="119"/>
      <x:c r="T56" s="119"/>
      <x:c r="U56" s="119"/>
      <x:c r="V56" s="119"/>
      <x:c r="W56" s="119"/>
      <x:c r="X56" s="119"/>
      <x:c r="Y56" s="119"/>
    </x:row>
    <x:row r="57">
      <x:c r="A57" s="119"/>
      <x:c r="B57" s="119"/>
      <x:c r="C57" s="119"/>
      <x:c r="D57" s="119"/>
      <x:c r="E57" s="119"/>
      <x:c r="F57" s="119"/>
      <x:c r="G57" s="119"/>
      <x:c r="H57" s="119"/>
      <x:c r="I57" s="119"/>
      <x:c r="J57" s="119"/>
      <x:c r="K57" s="119"/>
      <x:c r="L57" s="119"/>
      <x:c r="M57" s="119"/>
      <x:c r="N57" s="119"/>
      <x:c r="O57" s="119"/>
      <x:c r="P57" s="119"/>
      <x:c r="Q57" s="119"/>
      <x:c r="R57" s="119"/>
      <x:c r="S57" s="119"/>
      <x:c r="T57" s="119"/>
      <x:c r="U57" s="119"/>
      <x:c r="V57" s="119"/>
      <x:c r="W57" s="119"/>
      <x:c r="X57" s="119"/>
      <x:c r="Y57" s="119"/>
    </x:row>
    <x:row r="58">
      <x:c r="A58" s="119"/>
      <x:c r="B58" s="119"/>
      <x:c r="C58" s="119"/>
      <x:c r="D58" s="119"/>
      <x:c r="E58" s="119"/>
      <x:c r="F58" s="119"/>
      <x:c r="G58" s="119"/>
      <x:c r="H58" s="119"/>
      <x:c r="I58" s="119"/>
      <x:c r="J58" s="119"/>
      <x:c r="K58" s="119"/>
      <x:c r="L58" s="119"/>
      <x:c r="M58" s="119"/>
      <x:c r="N58" s="119"/>
      <x:c r="O58" s="119"/>
      <x:c r="P58" s="119"/>
      <x:c r="Q58" s="119"/>
      <x:c r="R58" s="119"/>
      <x:c r="S58" s="119"/>
      <x:c r="T58" s="119"/>
      <x:c r="U58" s="119"/>
      <x:c r="V58" s="119"/>
      <x:c r="W58" s="119"/>
      <x:c r="X58" s="119"/>
      <x:c r="Y58" s="119"/>
    </x:row>
    <x:row r="59">
      <x:c r="A59" s="119"/>
      <x:c r="B59" s="119"/>
      <x:c r="C59" s="119"/>
      <x:c r="D59" s="119"/>
      <x:c r="E59" s="119"/>
      <x:c r="F59" s="119"/>
      <x:c r="G59" s="119"/>
      <x:c r="H59" s="119"/>
      <x:c r="I59" s="119"/>
      <x:c r="J59" s="119"/>
      <x:c r="K59" s="119"/>
      <x:c r="L59" s="119"/>
      <x:c r="M59" s="119"/>
      <x:c r="N59" s="119"/>
      <x:c r="O59" s="119"/>
      <x:c r="P59" s="119"/>
      <x:c r="Q59" s="119"/>
      <x:c r="R59" s="119"/>
      <x:c r="S59" s="119"/>
      <x:c r="T59" s="119"/>
      <x:c r="U59" s="119"/>
      <x:c r="V59" s="119"/>
      <x:c r="W59" s="119"/>
      <x:c r="X59" s="119"/>
      <x:c r="Y59" s="119"/>
    </x:row>
    <x:row r="60">
      <x:c r="A60" s="119"/>
      <x:c r="B60" s="119"/>
      <x:c r="C60" s="119"/>
      <x:c r="D60" s="119"/>
      <x:c r="E60" s="119"/>
      <x:c r="F60" s="119"/>
      <x:c r="G60" s="119"/>
      <x:c r="H60" s="119"/>
      <x:c r="I60" s="119"/>
      <x:c r="J60" s="119"/>
      <x:c r="K60" s="119"/>
      <x:c r="L60" s="119"/>
      <x:c r="M60" s="119"/>
      <x:c r="N60" s="119"/>
      <x:c r="O60" s="119"/>
      <x:c r="P60" s="119"/>
      <x:c r="Q60" s="119"/>
      <x:c r="R60" s="119"/>
      <x:c r="S60" s="119"/>
      <x:c r="T60" s="119"/>
      <x:c r="U60" s="119"/>
      <x:c r="V60" s="119"/>
      <x:c r="W60" s="119"/>
      <x:c r="X60" s="119"/>
      <x:c r="Y60" s="119"/>
    </x:row>
    <x:row r="61">
      <x:c r="A61" s="119"/>
      <x:c r="B61" s="119"/>
      <x:c r="C61" s="119"/>
      <x:c r="D61" s="119"/>
      <x:c r="E61" s="119"/>
      <x:c r="F61" s="119"/>
      <x:c r="G61" s="119"/>
      <x:c r="H61" s="119"/>
      <x:c r="I61" s="119"/>
      <x:c r="J61" s="119"/>
      <x:c r="K61" s="119"/>
      <x:c r="L61" s="119"/>
      <x:c r="M61" s="119"/>
      <x:c r="N61" s="119"/>
      <x:c r="O61" s="119"/>
      <x:c r="P61" s="119"/>
      <x:c r="Q61" s="119"/>
      <x:c r="R61" s="119"/>
      <x:c r="S61" s="119"/>
      <x:c r="T61" s="119"/>
      <x:c r="U61" s="119"/>
      <x:c r="V61" s="119"/>
      <x:c r="W61" s="119"/>
      <x:c r="X61" s="119"/>
      <x:c r="Y61" s="119"/>
    </x:row>
    <x:row r="62">
      <x:c r="A62" s="119"/>
      <x:c r="B62" s="119"/>
      <x:c r="C62" s="119"/>
      <x:c r="D62" s="119"/>
      <x:c r="E62" s="119"/>
      <x:c r="F62" s="119"/>
      <x:c r="G62" s="119"/>
      <x:c r="H62" s="119"/>
      <x:c r="I62" s="119"/>
      <x:c r="J62" s="119"/>
      <x:c r="K62" s="119"/>
      <x:c r="L62" s="119"/>
      <x:c r="M62" s="119"/>
      <x:c r="N62" s="119"/>
      <x:c r="O62" s="119"/>
      <x:c r="P62" s="119"/>
      <x:c r="Q62" s="119"/>
      <x:c r="R62" s="119"/>
      <x:c r="S62" s="119"/>
      <x:c r="T62" s="119"/>
      <x:c r="U62" s="119"/>
      <x:c r="V62" s="119"/>
      <x:c r="W62" s="119"/>
      <x:c r="X62" s="119"/>
      <x:c r="Y62" s="119"/>
    </x:row>
    <x:row r="63">
      <x:c r="A63" s="119"/>
      <x:c r="B63" s="119"/>
      <x:c r="C63" s="119"/>
      <x:c r="D63" s="119"/>
      <x:c r="E63" s="119"/>
      <x:c r="F63" s="119"/>
      <x:c r="G63" s="119"/>
      <x:c r="H63" s="119"/>
      <x:c r="I63" s="119"/>
      <x:c r="J63" s="119"/>
      <x:c r="K63" s="119"/>
      <x:c r="L63" s="119"/>
      <x:c r="M63" s="119"/>
      <x:c r="N63" s="119"/>
      <x:c r="O63" s="119"/>
      <x:c r="P63" s="119"/>
      <x:c r="Q63" s="119"/>
      <x:c r="R63" s="119"/>
      <x:c r="S63" s="119"/>
      <x:c r="T63" s="119"/>
      <x:c r="U63" s="119"/>
      <x:c r="V63" s="119"/>
      <x:c r="W63" s="119"/>
      <x:c r="X63" s="119"/>
      <x:c r="Y63" s="119"/>
    </x:row>
    <x:row r="64">
      <x:c r="A64" s="119"/>
      <x:c r="B64" s="119"/>
      <x:c r="C64" s="119"/>
      <x:c r="D64" s="119"/>
      <x:c r="E64" s="119"/>
      <x:c r="F64" s="119"/>
      <x:c r="G64" s="119"/>
      <x:c r="H64" s="119"/>
      <x:c r="I64" s="119"/>
      <x:c r="J64" s="119"/>
      <x:c r="K64" s="119"/>
      <x:c r="L64" s="119"/>
      <x:c r="M64" s="119"/>
      <x:c r="N64" s="119"/>
      <x:c r="O64" s="119"/>
      <x:c r="P64" s="119"/>
      <x:c r="Q64" s="119"/>
      <x:c r="R64" s="119"/>
      <x:c r="S64" s="119"/>
      <x:c r="T64" s="119"/>
      <x:c r="U64" s="119"/>
      <x:c r="V64" s="119"/>
      <x:c r="W64" s="119"/>
      <x:c r="X64" s="119"/>
      <x:c r="Y64" s="119"/>
    </x:row>
    <x:row r="65">
      <x:c r="A65" s="119"/>
      <x:c r="B65" s="119"/>
      <x:c r="C65" s="119"/>
      <x:c r="D65" s="119"/>
      <x:c r="E65" s="119"/>
      <x:c r="F65" s="119"/>
      <x:c r="G65" s="119"/>
      <x:c r="H65" s="119"/>
      <x:c r="I65" s="119"/>
      <x:c r="J65" s="119"/>
      <x:c r="K65" s="119"/>
      <x:c r="L65" s="119"/>
      <x:c r="M65" s="119"/>
      <x:c r="N65" s="119"/>
      <x:c r="O65" s="119"/>
      <x:c r="P65" s="119"/>
      <x:c r="Q65" s="119"/>
      <x:c r="R65" s="119"/>
      <x:c r="S65" s="119"/>
      <x:c r="T65" s="119"/>
      <x:c r="U65" s="119"/>
      <x:c r="V65" s="119"/>
      <x:c r="W65" s="119"/>
      <x:c r="X65" s="119"/>
      <x:c r="Y65" s="119"/>
    </x:row>
    <x:row r="66">
      <x:c r="A66" s="119"/>
      <x:c r="B66" s="119"/>
      <x:c r="C66" s="119"/>
      <x:c r="D66" s="119"/>
      <x:c r="E66" s="119"/>
      <x:c r="F66" s="119"/>
      <x:c r="G66" s="119"/>
      <x:c r="H66" s="119"/>
      <x:c r="I66" s="119"/>
      <x:c r="J66" s="119"/>
      <x:c r="K66" s="119"/>
      <x:c r="L66" s="119"/>
      <x:c r="M66" s="119"/>
      <x:c r="N66" s="119"/>
      <x:c r="O66" s="119"/>
      <x:c r="P66" s="119"/>
      <x:c r="Q66" s="119"/>
      <x:c r="R66" s="119"/>
      <x:c r="S66" s="119"/>
      <x:c r="T66" s="119"/>
      <x:c r="U66" s="119"/>
      <x:c r="V66" s="119"/>
      <x:c r="W66" s="119"/>
      <x:c r="X66" s="119"/>
      <x:c r="Y66" s="119"/>
    </x:row>
    <x:row r="67">
      <x:c r="A67" s="119"/>
      <x:c r="B67" s="119"/>
      <x:c r="C67" s="119"/>
      <x:c r="D67" s="119"/>
      <x:c r="E67" s="119"/>
      <x:c r="F67" s="119"/>
      <x:c r="G67" s="119"/>
      <x:c r="H67" s="119"/>
      <x:c r="I67" s="119"/>
      <x:c r="J67" s="119"/>
      <x:c r="K67" s="119"/>
      <x:c r="L67" s="119"/>
      <x:c r="M67" s="119"/>
      <x:c r="N67" s="119"/>
      <x:c r="O67" s="119"/>
      <x:c r="P67" s="119"/>
      <x:c r="Q67" s="119"/>
      <x:c r="R67" s="119"/>
      <x:c r="S67" s="119"/>
      <x:c r="T67" s="119"/>
      <x:c r="U67" s="119"/>
      <x:c r="V67" s="119"/>
      <x:c r="W67" s="119"/>
      <x:c r="X67" s="119"/>
      <x:c r="Y67" s="119"/>
    </x:row>
    <x:row r="68">
      <x:c r="A68" s="119"/>
      <x:c r="B68" s="119"/>
      <x:c r="C68" s="119"/>
      <x:c r="D68" s="119"/>
      <x:c r="E68" s="119"/>
      <x:c r="F68" s="119"/>
      <x:c r="G68" s="119"/>
      <x:c r="H68" s="119"/>
      <x:c r="I68" s="119"/>
      <x:c r="J68" s="119"/>
      <x:c r="K68" s="119"/>
      <x:c r="L68" s="119"/>
      <x:c r="M68" s="119"/>
      <x:c r="N68" s="119"/>
      <x:c r="O68" s="119"/>
      <x:c r="P68" s="119"/>
      <x:c r="Q68" s="119"/>
      <x:c r="R68" s="119"/>
      <x:c r="S68" s="119"/>
      <x:c r="T68" s="119"/>
      <x:c r="U68" s="119"/>
      <x:c r="V68" s="119"/>
      <x:c r="W68" s="119"/>
      <x:c r="X68" s="119"/>
      <x:c r="Y68" s="119"/>
    </x:row>
    <x:row r="69">
      <x:c r="A69" s="119"/>
      <x:c r="B69" s="119"/>
      <x:c r="C69" s="119"/>
      <x:c r="D69" s="119"/>
      <x:c r="E69" s="119"/>
      <x:c r="F69" s="119"/>
      <x:c r="G69" s="119"/>
      <x:c r="H69" s="119"/>
      <x:c r="I69" s="119"/>
      <x:c r="J69" s="119"/>
      <x:c r="K69" s="119"/>
      <x:c r="L69" s="119"/>
      <x:c r="M69" s="119"/>
      <x:c r="N69" s="119"/>
      <x:c r="O69" s="119"/>
      <x:c r="P69" s="119"/>
      <x:c r="Q69" s="119"/>
      <x:c r="R69" s="119"/>
      <x:c r="S69" s="119"/>
      <x:c r="T69" s="119"/>
      <x:c r="U69" s="119"/>
      <x:c r="V69" s="119"/>
      <x:c r="W69" s="119"/>
      <x:c r="X69" s="119"/>
      <x:c r="Y69" s="119"/>
    </x:row>
    <x:row r="70">
      <x:c r="A70" s="119"/>
      <x:c r="B70" s="119"/>
      <x:c r="C70" s="119"/>
      <x:c r="D70" s="119"/>
      <x:c r="E70" s="119"/>
      <x:c r="F70" s="119"/>
      <x:c r="G70" s="119"/>
      <x:c r="H70" s="119"/>
      <x:c r="I70" s="119"/>
      <x:c r="J70" s="119"/>
      <x:c r="K70" s="119"/>
      <x:c r="L70" s="119"/>
      <x:c r="M70" s="119"/>
      <x:c r="N70" s="119"/>
      <x:c r="O70" s="119"/>
      <x:c r="P70" s="119"/>
      <x:c r="Q70" s="119"/>
      <x:c r="R70" s="119"/>
      <x:c r="S70" s="119"/>
      <x:c r="T70" s="119"/>
      <x:c r="U70" s="119"/>
      <x:c r="V70" s="119"/>
      <x:c r="W70" s="119"/>
      <x:c r="X70" s="119"/>
      <x:c r="Y70" s="119"/>
    </x:row>
    <x:row r="71">
      <x:c r="A71" s="119"/>
      <x:c r="B71" s="119"/>
      <x:c r="C71" s="119"/>
      <x:c r="D71" s="119"/>
      <x:c r="E71" s="119"/>
      <x:c r="F71" s="119"/>
      <x:c r="G71" s="119"/>
      <x:c r="H71" s="119"/>
      <x:c r="I71" s="119"/>
      <x:c r="J71" s="119"/>
      <x:c r="K71" s="119"/>
      <x:c r="L71" s="119"/>
      <x:c r="M71" s="119"/>
      <x:c r="N71" s="119"/>
      <x:c r="O71" s="119"/>
      <x:c r="P71" s="119"/>
      <x:c r="Q71" s="119"/>
      <x:c r="R71" s="119"/>
      <x:c r="S71" s="119"/>
      <x:c r="T71" s="119"/>
      <x:c r="U71" s="119"/>
      <x:c r="V71" s="119"/>
      <x:c r="W71" s="119"/>
      <x:c r="X71" s="119"/>
      <x:c r="Y71" s="119"/>
    </x:row>
    <x:row r="72">
      <x:c r="A72" s="119"/>
      <x:c r="B72" s="119"/>
      <x:c r="C72" s="119"/>
      <x:c r="D72" s="119"/>
      <x:c r="E72" s="119"/>
      <x:c r="F72" s="119"/>
      <x:c r="G72" s="119"/>
      <x:c r="H72" s="119"/>
      <x:c r="I72" s="119"/>
      <x:c r="J72" s="119"/>
      <x:c r="K72" s="119"/>
      <x:c r="L72" s="119"/>
      <x:c r="M72" s="119"/>
      <x:c r="N72" s="119"/>
      <x:c r="O72" s="119"/>
      <x:c r="P72" s="119"/>
      <x:c r="Q72" s="119"/>
      <x:c r="R72" s="119"/>
      <x:c r="S72" s="119"/>
      <x:c r="T72" s="119"/>
      <x:c r="U72" s="119"/>
      <x:c r="V72" s="119"/>
      <x:c r="W72" s="119"/>
      <x:c r="X72" s="119"/>
      <x:c r="Y72" s="119"/>
    </x:row>
    <x:row r="73">
      <x:c r="A73" s="119"/>
      <x:c r="B73" s="119"/>
      <x:c r="C73" s="119"/>
      <x:c r="D73" s="119"/>
      <x:c r="E73" s="119"/>
      <x:c r="F73" s="119"/>
      <x:c r="G73" s="119"/>
      <x:c r="H73" s="119"/>
      <x:c r="I73" s="119"/>
      <x:c r="J73" s="119"/>
      <x:c r="K73" s="119"/>
      <x:c r="L73" s="119"/>
      <x:c r="M73" s="119"/>
      <x:c r="N73" s="119"/>
      <x:c r="O73" s="119"/>
      <x:c r="P73" s="119"/>
      <x:c r="Q73" s="119"/>
      <x:c r="R73" s="119"/>
      <x:c r="S73" s="119"/>
      <x:c r="T73" s="119"/>
      <x:c r="U73" s="119"/>
      <x:c r="V73" s="119"/>
      <x:c r="W73" s="119"/>
      <x:c r="X73" s="119"/>
      <x:c r="Y73" s="119"/>
    </x:row>
    <x:row r="74">
      <x:c r="A74" s="119"/>
      <x:c r="B74" s="119"/>
      <x:c r="C74" s="119"/>
      <x:c r="D74" s="119"/>
      <x:c r="E74" s="119"/>
      <x:c r="F74" s="119"/>
      <x:c r="G74" s="119"/>
      <x:c r="H74" s="119"/>
      <x:c r="I74" s="119"/>
      <x:c r="J74" s="119"/>
      <x:c r="K74" s="119"/>
      <x:c r="L74" s="119"/>
      <x:c r="M74" s="119"/>
      <x:c r="N74" s="119"/>
      <x:c r="O74" s="119"/>
      <x:c r="P74" s="119"/>
      <x:c r="Q74" s="119"/>
      <x:c r="R74" s="119"/>
      <x:c r="S74" s="119"/>
      <x:c r="T74" s="119"/>
      <x:c r="U74" s="119"/>
      <x:c r="V74" s="119"/>
      <x:c r="W74" s="119"/>
      <x:c r="X74" s="119"/>
      <x:c r="Y74" s="119"/>
    </x:row>
    <x:row r="75">
      <x:c r="A75" s="119"/>
      <x:c r="B75" s="119"/>
      <x:c r="C75" s="119"/>
      <x:c r="D75" s="119"/>
      <x:c r="E75" s="119"/>
      <x:c r="F75" s="119"/>
      <x:c r="G75" s="119"/>
      <x:c r="H75" s="119"/>
      <x:c r="I75" s="119"/>
      <x:c r="J75" s="119"/>
      <x:c r="K75" s="119"/>
      <x:c r="L75" s="119"/>
      <x:c r="M75" s="119"/>
      <x:c r="N75" s="119"/>
      <x:c r="O75" s="119"/>
      <x:c r="P75" s="119"/>
      <x:c r="Q75" s="119"/>
      <x:c r="R75" s="119"/>
      <x:c r="S75" s="119"/>
      <x:c r="T75" s="119"/>
      <x:c r="U75" s="119"/>
      <x:c r="V75" s="119"/>
      <x:c r="W75" s="119"/>
      <x:c r="X75" s="119"/>
      <x:c r="Y75" s="119"/>
    </x:row>
    <x:row r="76">
      <x:c r="A76" s="119"/>
      <x:c r="B76" s="119"/>
      <x:c r="C76" s="119"/>
      <x:c r="D76" s="119"/>
      <x:c r="E76" s="119"/>
      <x:c r="F76" s="119"/>
      <x:c r="G76" s="119"/>
      <x:c r="H76" s="119"/>
      <x:c r="I76" s="119"/>
      <x:c r="J76" s="119"/>
      <x:c r="K76" s="119"/>
      <x:c r="L76" s="119"/>
      <x:c r="M76" s="119"/>
      <x:c r="N76" s="119"/>
      <x:c r="O76" s="119"/>
      <x:c r="P76" s="119"/>
      <x:c r="Q76" s="119"/>
      <x:c r="R76" s="119"/>
      <x:c r="S76" s="119"/>
      <x:c r="T76" s="119"/>
      <x:c r="U76" s="119"/>
      <x:c r="V76" s="119"/>
      <x:c r="W76" s="119"/>
      <x:c r="X76" s="119"/>
      <x:c r="Y76" s="119"/>
    </x:row>
    <x:row r="77">
      <x:c r="A77" s="119"/>
      <x:c r="B77" s="119"/>
      <x:c r="C77" s="119"/>
      <x:c r="D77" s="119"/>
      <x:c r="E77" s="119"/>
      <x:c r="F77" s="119"/>
      <x:c r="G77" s="119"/>
      <x:c r="H77" s="119"/>
      <x:c r="I77" s="119"/>
      <x:c r="J77" s="119"/>
      <x:c r="K77" s="119"/>
      <x:c r="L77" s="119"/>
      <x:c r="M77" s="119"/>
      <x:c r="N77" s="119"/>
      <x:c r="O77" s="119"/>
      <x:c r="P77" s="119"/>
      <x:c r="Q77" s="119"/>
      <x:c r="R77" s="119"/>
      <x:c r="S77" s="119"/>
      <x:c r="T77" s="119"/>
      <x:c r="U77" s="119"/>
      <x:c r="V77" s="119"/>
      <x:c r="W77" s="119"/>
      <x:c r="X77" s="119"/>
      <x:c r="Y77" s="119"/>
    </x:row>
    <x:row r="78">
      <x:c r="A78" s="119"/>
      <x:c r="B78" s="119"/>
      <x:c r="C78" s="119"/>
      <x:c r="D78" s="119"/>
      <x:c r="E78" s="119"/>
      <x:c r="F78" s="119"/>
      <x:c r="G78" s="119"/>
      <x:c r="H78" s="119"/>
      <x:c r="I78" s="119"/>
      <x:c r="J78" s="119"/>
      <x:c r="K78" s="119"/>
      <x:c r="L78" s="119"/>
      <x:c r="M78" s="119"/>
      <x:c r="N78" s="119"/>
      <x:c r="O78" s="119"/>
      <x:c r="P78" s="119"/>
      <x:c r="Q78" s="119"/>
      <x:c r="R78" s="119"/>
      <x:c r="S78" s="119"/>
      <x:c r="T78" s="119"/>
      <x:c r="U78" s="119"/>
      <x:c r="V78" s="119"/>
      <x:c r="W78" s="119"/>
      <x:c r="X78" s="119"/>
      <x:c r="Y78" s="119"/>
    </x:row>
    <x:row r="79">
      <x:c r="A79" s="119"/>
      <x:c r="B79" s="119"/>
      <x:c r="C79" s="119"/>
      <x:c r="D79" s="119"/>
      <x:c r="E79" s="119"/>
      <x:c r="F79" s="119"/>
      <x:c r="G79" s="119"/>
      <x:c r="H79" s="119"/>
      <x:c r="I79" s="119"/>
      <x:c r="J79" s="119"/>
      <x:c r="K79" s="119"/>
      <x:c r="L79" s="119"/>
      <x:c r="M79" s="119"/>
      <x:c r="N79" s="119"/>
      <x:c r="O79" s="119"/>
      <x:c r="P79" s="119"/>
      <x:c r="Q79" s="119"/>
      <x:c r="R79" s="119"/>
      <x:c r="S79" s="119"/>
      <x:c r="T79" s="119"/>
      <x:c r="U79" s="119"/>
      <x:c r="V79" s="119"/>
      <x:c r="W79" s="119"/>
      <x:c r="X79" s="119"/>
      <x:c r="Y79" s="119"/>
    </x:row>
    <x:row r="80">
      <x:c r="A80" s="119"/>
      <x:c r="B80" s="119"/>
      <x:c r="C80" s="119"/>
      <x:c r="D80" s="119"/>
      <x:c r="E80" s="119"/>
      <x:c r="F80" s="119"/>
      <x:c r="G80" s="119"/>
      <x:c r="H80" s="119"/>
      <x:c r="I80" s="119"/>
      <x:c r="J80" s="119"/>
      <x:c r="K80" s="119"/>
      <x:c r="L80" s="119"/>
      <x:c r="M80" s="119"/>
      <x:c r="N80" s="119"/>
      <x:c r="O80" s="119"/>
      <x:c r="P80" s="119"/>
      <x:c r="Q80" s="119"/>
      <x:c r="R80" s="119"/>
      <x:c r="S80" s="119"/>
      <x:c r="T80" s="119"/>
      <x:c r="U80" s="119"/>
      <x:c r="V80" s="119"/>
      <x:c r="W80" s="119"/>
      <x:c r="X80" s="119"/>
      <x:c r="Y80" s="119"/>
    </x:row>
    <x:row r="81">
      <x:c r="A81" s="119"/>
      <x:c r="B81" s="119"/>
      <x:c r="C81" s="119"/>
      <x:c r="D81" s="119"/>
      <x:c r="E81" s="119"/>
      <x:c r="F81" s="119"/>
      <x:c r="G81" s="119"/>
      <x:c r="H81" s="119"/>
      <x:c r="I81" s="119"/>
      <x:c r="J81" s="119"/>
      <x:c r="K81" s="119"/>
      <x:c r="L81" s="119"/>
      <x:c r="M81" s="119"/>
      <x:c r="N81" s="119"/>
      <x:c r="O81" s="119"/>
      <x:c r="P81" s="119"/>
      <x:c r="Q81" s="119"/>
      <x:c r="R81" s="119"/>
      <x:c r="S81" s="119"/>
      <x:c r="T81" s="119"/>
      <x:c r="U81" s="119"/>
      <x:c r="V81" s="119"/>
      <x:c r="W81" s="119"/>
      <x:c r="X81" s="119"/>
      <x:c r="Y81" s="119"/>
    </x:row>
    <x:row r="82">
      <x:c r="A82" s="119"/>
      <x:c r="B82" s="119"/>
      <x:c r="C82" s="119"/>
      <x:c r="D82" s="119"/>
      <x:c r="E82" s="119"/>
      <x:c r="F82" s="119"/>
      <x:c r="G82" s="119"/>
      <x:c r="H82" s="119"/>
      <x:c r="I82" s="119"/>
      <x:c r="J82" s="119"/>
      <x:c r="K82" s="119"/>
      <x:c r="L82" s="119"/>
      <x:c r="M82" s="119"/>
      <x:c r="N82" s="119"/>
      <x:c r="O82" s="119"/>
      <x:c r="P82" s="119"/>
      <x:c r="Q82" s="119"/>
      <x:c r="R82" s="119"/>
      <x:c r="S82" s="119"/>
      <x:c r="T82" s="119"/>
      <x:c r="U82" s="119"/>
      <x:c r="V82" s="119"/>
      <x:c r="W82" s="119"/>
      <x:c r="X82" s="119"/>
      <x:c r="Y82" s="119"/>
    </x:row>
    <x:row r="83">
      <x:c r="A83" s="119"/>
      <x:c r="B83" s="119"/>
      <x:c r="C83" s="119"/>
      <x:c r="D83" s="119"/>
      <x:c r="E83" s="119"/>
      <x:c r="F83" s="119"/>
      <x:c r="G83" s="119"/>
      <x:c r="H83" s="119"/>
      <x:c r="I83" s="119"/>
      <x:c r="J83" s="119"/>
      <x:c r="K83" s="119"/>
      <x:c r="L83" s="119"/>
      <x:c r="M83" s="119"/>
      <x:c r="N83" s="119"/>
      <x:c r="O83" s="119"/>
      <x:c r="P83" s="119"/>
      <x:c r="Q83" s="119"/>
      <x:c r="R83" s="119"/>
      <x:c r="S83" s="119"/>
      <x:c r="T83" s="119"/>
      <x:c r="U83" s="119"/>
      <x:c r="V83" s="119"/>
      <x:c r="W83" s="119"/>
      <x:c r="X83" s="119"/>
      <x:c r="Y83" s="119"/>
    </x:row>
    <x:row r="84">
      <x:c r="A84" s="119"/>
      <x:c r="B84" s="119"/>
      <x:c r="C84" s="119"/>
      <x:c r="D84" s="119"/>
      <x:c r="E84" s="119"/>
      <x:c r="F84" s="119"/>
      <x:c r="G84" s="119"/>
      <x:c r="H84" s="119"/>
      <x:c r="I84" s="119"/>
      <x:c r="J84" s="119"/>
      <x:c r="K84" s="119"/>
      <x:c r="L84" s="119"/>
      <x:c r="M84" s="119"/>
      <x:c r="N84" s="119"/>
      <x:c r="O84" s="119"/>
      <x:c r="P84" s="119"/>
      <x:c r="Q84" s="119"/>
      <x:c r="R84" s="119"/>
      <x:c r="S84" s="119"/>
      <x:c r="T84" s="119"/>
      <x:c r="U84" s="119"/>
      <x:c r="V84" s="119"/>
      <x:c r="W84" s="119"/>
      <x:c r="X84" s="119"/>
      <x:c r="Y84" s="119"/>
    </x:row>
    <x:row r="85">
      <x:c r="A85" s="119"/>
      <x:c r="B85" s="119"/>
      <x:c r="C85" s="119"/>
      <x:c r="D85" s="119"/>
      <x:c r="E85" s="119"/>
      <x:c r="F85" s="119"/>
      <x:c r="G85" s="119"/>
      <x:c r="H85" s="119"/>
      <x:c r="I85" s="119"/>
      <x:c r="J85" s="119"/>
      <x:c r="K85" s="119"/>
      <x:c r="L85" s="119"/>
      <x:c r="M85" s="119"/>
      <x:c r="N85" s="119"/>
      <x:c r="O85" s="119"/>
      <x:c r="P85" s="119"/>
      <x:c r="Q85" s="119"/>
      <x:c r="R85" s="119"/>
      <x:c r="S85" s="119"/>
      <x:c r="T85" s="119"/>
      <x:c r="U85" s="119"/>
      <x:c r="V85" s="119"/>
      <x:c r="W85" s="119"/>
      <x:c r="X85" s="119"/>
      <x:c r="Y85" s="119"/>
    </x:row>
    <x:row r="86">
      <x:c r="A86" s="119"/>
      <x:c r="B86" s="119"/>
      <x:c r="C86" s="119"/>
      <x:c r="D86" s="119"/>
      <x:c r="E86" s="119"/>
      <x:c r="F86" s="119"/>
      <x:c r="G86" s="119"/>
      <x:c r="H86" s="119"/>
      <x:c r="I86" s="119"/>
      <x:c r="J86" s="119"/>
      <x:c r="K86" s="119"/>
      <x:c r="L86" s="119"/>
      <x:c r="M86" s="119"/>
      <x:c r="N86" s="119"/>
      <x:c r="O86" s="119"/>
      <x:c r="P86" s="119"/>
      <x:c r="Q86" s="119"/>
      <x:c r="R86" s="119"/>
      <x:c r="S86" s="119"/>
      <x:c r="T86" s="119"/>
      <x:c r="U86" s="119"/>
      <x:c r="V86" s="119"/>
      <x:c r="W86" s="119"/>
      <x:c r="X86" s="119"/>
      <x:c r="Y86" s="119"/>
    </x:row>
    <x:row r="87">
      <x:c r="A87" s="119"/>
      <x:c r="B87" s="119"/>
      <x:c r="C87" s="119"/>
      <x:c r="D87" s="119"/>
      <x:c r="E87" s="119"/>
      <x:c r="F87" s="119"/>
      <x:c r="G87" s="119"/>
      <x:c r="H87" s="119"/>
      <x:c r="I87" s="119"/>
      <x:c r="J87" s="119"/>
      <x:c r="K87" s="119"/>
      <x:c r="L87" s="119"/>
      <x:c r="M87" s="119"/>
      <x:c r="N87" s="119"/>
      <x:c r="O87" s="119"/>
      <x:c r="P87" s="119"/>
      <x:c r="Q87" s="119"/>
      <x:c r="R87" s="119"/>
      <x:c r="S87" s="119"/>
      <x:c r="T87" s="119"/>
      <x:c r="U87" s="119"/>
      <x:c r="V87" s="119"/>
      <x:c r="W87" s="119"/>
      <x:c r="X87" s="119"/>
      <x:c r="Y87" s="119"/>
    </x:row>
    <x:row r="88">
      <x:c r="A88" s="119"/>
      <x:c r="B88" s="119"/>
      <x:c r="C88" s="119"/>
      <x:c r="D88" s="119"/>
      <x:c r="E88" s="119"/>
      <x:c r="F88" s="119"/>
      <x:c r="G88" s="119"/>
      <x:c r="H88" s="119"/>
      <x:c r="I88" s="119"/>
      <x:c r="J88" s="119"/>
      <x:c r="K88" s="119"/>
      <x:c r="L88" s="119"/>
      <x:c r="M88" s="119"/>
      <x:c r="N88" s="119"/>
      <x:c r="O88" s="119"/>
      <x:c r="P88" s="119"/>
      <x:c r="Q88" s="119"/>
      <x:c r="R88" s="119"/>
      <x:c r="S88" s="119"/>
      <x:c r="T88" s="119"/>
      <x:c r="U88" s="119"/>
      <x:c r="V88" s="119"/>
      <x:c r="W88" s="119"/>
      <x:c r="X88" s="119"/>
      <x:c r="Y88" s="119"/>
    </x:row>
    <x:row r="89">
      <x:c r="A89" s="119"/>
      <x:c r="B89" s="119"/>
      <x:c r="C89" s="119"/>
      <x:c r="D89" s="119"/>
      <x:c r="E89" s="119"/>
      <x:c r="F89" s="119"/>
      <x:c r="G89" s="119"/>
      <x:c r="H89" s="119"/>
      <x:c r="I89" s="119"/>
      <x:c r="J89" s="119"/>
      <x:c r="K89" s="119"/>
      <x:c r="L89" s="119"/>
      <x:c r="M89" s="119"/>
      <x:c r="N89" s="119"/>
      <x:c r="O89" s="119"/>
      <x:c r="P89" s="119"/>
      <x:c r="Q89" s="119"/>
      <x:c r="R89" s="119"/>
      <x:c r="S89" s="119"/>
      <x:c r="T89" s="119"/>
      <x:c r="U89" s="119"/>
      <x:c r="V89" s="119"/>
      <x:c r="W89" s="119"/>
      <x:c r="X89" s="119"/>
      <x:c r="Y89" s="119"/>
    </x:row>
    <x:row r="90">
      <x:c r="A90" s="119"/>
      <x:c r="B90" s="119"/>
      <x:c r="C90" s="119"/>
      <x:c r="D90" s="119"/>
      <x:c r="E90" s="119"/>
      <x:c r="F90" s="119"/>
      <x:c r="G90" s="119"/>
      <x:c r="H90" s="119"/>
      <x:c r="I90" s="119"/>
      <x:c r="J90" s="119"/>
      <x:c r="K90" s="119"/>
      <x:c r="L90" s="119"/>
      <x:c r="M90" s="119"/>
      <x:c r="N90" s="119"/>
      <x:c r="O90" s="119"/>
      <x:c r="P90" s="119"/>
      <x:c r="Q90" s="119"/>
      <x:c r="R90" s="119"/>
      <x:c r="S90" s="119"/>
      <x:c r="T90" s="119"/>
      <x:c r="U90" s="119"/>
      <x:c r="V90" s="119"/>
      <x:c r="W90" s="119"/>
      <x:c r="X90" s="119"/>
      <x:c r="Y90" s="119"/>
    </x:row>
    <x:row r="91">
      <x:c r="A91" s="119"/>
      <x:c r="B91" s="119"/>
      <x:c r="C91" s="119"/>
      <x:c r="D91" s="119"/>
      <x:c r="E91" s="119"/>
      <x:c r="F91" s="119"/>
      <x:c r="G91" s="119"/>
      <x:c r="H91" s="119"/>
      <x:c r="I91" s="119"/>
      <x:c r="J91" s="119"/>
      <x:c r="K91" s="119"/>
      <x:c r="L91" s="119"/>
      <x:c r="M91" s="119"/>
      <x:c r="N91" s="119"/>
      <x:c r="O91" s="119"/>
      <x:c r="P91" s="119"/>
      <x:c r="Q91" s="119"/>
      <x:c r="R91" s="119"/>
      <x:c r="S91" s="119"/>
      <x:c r="T91" s="119"/>
      <x:c r="U91" s="119"/>
      <x:c r="V91" s="119"/>
      <x:c r="W91" s="119"/>
      <x:c r="X91" s="119"/>
      <x:c r="Y91" s="119"/>
    </x:row>
    <x:row r="92">
      <x:c r="A92" s="119"/>
      <x:c r="B92" s="119"/>
      <x:c r="C92" s="119"/>
      <x:c r="D92" s="119"/>
      <x:c r="E92" s="119"/>
      <x:c r="F92" s="119"/>
      <x:c r="G92" s="119"/>
      <x:c r="H92" s="119"/>
      <x:c r="I92" s="119"/>
      <x:c r="J92" s="119"/>
      <x:c r="K92" s="119"/>
      <x:c r="L92" s="119"/>
      <x:c r="M92" s="119"/>
      <x:c r="N92" s="119"/>
      <x:c r="O92" s="119"/>
      <x:c r="P92" s="119"/>
      <x:c r="Q92" s="119"/>
      <x:c r="R92" s="119"/>
      <x:c r="S92" s="119"/>
      <x:c r="T92" s="119"/>
      <x:c r="U92" s="119"/>
      <x:c r="V92" s="119"/>
      <x:c r="W92" s="119"/>
      <x:c r="X92" s="119"/>
      <x:c r="Y92" s="119"/>
    </x:row>
    <x:row r="93">
      <x:c r="A93" s="119"/>
      <x:c r="B93" s="119"/>
      <x:c r="C93" s="119"/>
      <x:c r="D93" s="119"/>
      <x:c r="E93" s="119"/>
      <x:c r="F93" s="119"/>
      <x:c r="G93" s="119"/>
      <x:c r="H93" s="119"/>
      <x:c r="I93" s="119"/>
      <x:c r="J93" s="119"/>
      <x:c r="K93" s="119"/>
      <x:c r="L93" s="119"/>
      <x:c r="M93" s="119"/>
      <x:c r="N93" s="119"/>
      <x:c r="O93" s="119"/>
      <x:c r="P93" s="119"/>
      <x:c r="Q93" s="119"/>
      <x:c r="R93" s="119"/>
      <x:c r="S93" s="119"/>
      <x:c r="T93" s="119"/>
      <x:c r="U93" s="119"/>
      <x:c r="V93" s="119"/>
      <x:c r="W93" s="119"/>
      <x:c r="X93" s="119"/>
      <x:c r="Y93" s="119"/>
    </x:row>
    <x:row r="94">
      <x:c r="A94" s="119"/>
      <x:c r="B94" s="119"/>
      <x:c r="C94" s="119"/>
      <x:c r="D94" s="119"/>
      <x:c r="E94" s="119"/>
      <x:c r="F94" s="119"/>
      <x:c r="G94" s="119"/>
      <x:c r="H94" s="119"/>
      <x:c r="I94" s="119"/>
      <x:c r="J94" s="119"/>
      <x:c r="K94" s="119"/>
      <x:c r="L94" s="119"/>
      <x:c r="M94" s="119"/>
      <x:c r="N94" s="119"/>
      <x:c r="O94" s="119"/>
      <x:c r="P94" s="119"/>
      <x:c r="Q94" s="119"/>
      <x:c r="R94" s="119"/>
      <x:c r="S94" s="119"/>
      <x:c r="T94" s="119"/>
      <x:c r="U94" s="119"/>
      <x:c r="V94" s="119"/>
      <x:c r="W94" s="119"/>
      <x:c r="X94" s="119"/>
      <x:c r="Y94" s="119"/>
    </x:row>
    <x:row r="95">
      <x:c r="A95" s="119"/>
      <x:c r="B95" s="119"/>
      <x:c r="C95" s="119"/>
      <x:c r="D95" s="119"/>
      <x:c r="E95" s="119"/>
      <x:c r="F95" s="119"/>
      <x:c r="G95" s="119"/>
      <x:c r="H95" s="119"/>
      <x:c r="I95" s="119"/>
      <x:c r="J95" s="119"/>
      <x:c r="K95" s="119"/>
      <x:c r="L95" s="119"/>
      <x:c r="M95" s="119"/>
      <x:c r="N95" s="119"/>
      <x:c r="O95" s="119"/>
      <x:c r="P95" s="119"/>
      <x:c r="Q95" s="119"/>
      <x:c r="R95" s="119"/>
      <x:c r="S95" s="119"/>
      <x:c r="T95" s="119"/>
      <x:c r="U95" s="119"/>
      <x:c r="V95" s="119"/>
      <x:c r="W95" s="119"/>
      <x:c r="X95" s="119"/>
      <x:c r="Y95" s="119"/>
    </x:row>
    <x:row r="96">
      <x:c r="A96" s="119"/>
      <x:c r="B96" s="119"/>
      <x:c r="C96" s="119"/>
      <x:c r="D96" s="119"/>
      <x:c r="E96" s="119"/>
      <x:c r="F96" s="119"/>
      <x:c r="G96" s="119"/>
      <x:c r="H96" s="119"/>
      <x:c r="I96" s="119"/>
      <x:c r="J96" s="119"/>
      <x:c r="K96" s="119"/>
      <x:c r="L96" s="119"/>
      <x:c r="M96" s="119"/>
      <x:c r="N96" s="119"/>
      <x:c r="O96" s="119"/>
      <x:c r="P96" s="119"/>
      <x:c r="Q96" s="119"/>
      <x:c r="R96" s="119"/>
      <x:c r="S96" s="119"/>
      <x:c r="T96" s="119"/>
      <x:c r="U96" s="119"/>
      <x:c r="V96" s="119"/>
      <x:c r="W96" s="119"/>
      <x:c r="X96" s="119"/>
      <x:c r="Y96" s="119"/>
    </x:row>
    <x:row r="97">
      <x:c r="A97" s="119"/>
      <x:c r="B97" s="119"/>
      <x:c r="C97" s="119"/>
      <x:c r="D97" s="119"/>
      <x:c r="E97" s="119"/>
      <x:c r="F97" s="119"/>
      <x:c r="G97" s="119"/>
      <x:c r="H97" s="119"/>
      <x:c r="I97" s="119"/>
      <x:c r="J97" s="119"/>
      <x:c r="K97" s="119"/>
      <x:c r="L97" s="119"/>
      <x:c r="M97" s="119"/>
      <x:c r="N97" s="119"/>
      <x:c r="O97" s="119"/>
      <x:c r="P97" s="119"/>
      <x:c r="Q97" s="119"/>
      <x:c r="R97" s="119"/>
      <x:c r="S97" s="119"/>
      <x:c r="T97" s="119"/>
      <x:c r="U97" s="119"/>
      <x:c r="V97" s="119"/>
      <x:c r="W97" s="119"/>
      <x:c r="X97" s="119"/>
      <x:c r="Y97" s="119"/>
    </x:row>
    <x:row r="98">
      <x:c r="A98" s="119"/>
      <x:c r="B98" s="119"/>
      <x:c r="C98" s="119"/>
      <x:c r="D98" s="119"/>
      <x:c r="E98" s="119"/>
      <x:c r="F98" s="119"/>
      <x:c r="G98" s="119"/>
      <x:c r="H98" s="119"/>
      <x:c r="I98" s="119"/>
      <x:c r="J98" s="119"/>
      <x:c r="K98" s="119"/>
      <x:c r="L98" s="119"/>
      <x:c r="M98" s="119"/>
      <x:c r="N98" s="119"/>
      <x:c r="O98" s="119"/>
      <x:c r="P98" s="119"/>
      <x:c r="Q98" s="119"/>
      <x:c r="R98" s="119"/>
      <x:c r="S98" s="119"/>
      <x:c r="T98" s="119"/>
      <x:c r="U98" s="119"/>
      <x:c r="V98" s="119"/>
      <x:c r="W98" s="119"/>
      <x:c r="X98" s="119"/>
      <x:c r="Y98" s="119"/>
    </x:row>
    <x:row r="99">
      <x:c r="A99" s="119"/>
      <x:c r="B99" s="119"/>
      <x:c r="C99" s="119"/>
      <x:c r="D99" s="119"/>
      <x:c r="E99" s="119"/>
      <x:c r="F99" s="119"/>
      <x:c r="G99" s="119"/>
      <x:c r="H99" s="119"/>
      <x:c r="I99" s="119"/>
      <x:c r="J99" s="119"/>
      <x:c r="K99" s="119"/>
      <x:c r="L99" s="119"/>
      <x:c r="M99" s="119"/>
      <x:c r="N99" s="119"/>
      <x:c r="O99" s="119"/>
      <x:c r="P99" s="119"/>
      <x:c r="Q99" s="119"/>
      <x:c r="R99" s="119"/>
      <x:c r="S99" s="119"/>
      <x:c r="T99" s="119"/>
      <x:c r="U99" s="119"/>
      <x:c r="V99" s="119"/>
      <x:c r="W99" s="119"/>
      <x:c r="X99" s="119"/>
      <x:c r="Y99" s="119"/>
    </x:row>
    <x:row r="100">
      <x:c r="A100" s="119"/>
      <x:c r="B100" s="119"/>
      <x:c r="C100" s="119"/>
      <x:c r="D100" s="119"/>
      <x:c r="E100" s="119"/>
      <x:c r="F100" s="119"/>
      <x:c r="G100" s="119"/>
      <x:c r="H100" s="119"/>
      <x:c r="I100" s="119"/>
      <x:c r="J100" s="119"/>
      <x:c r="K100" s="119"/>
      <x:c r="L100" s="119"/>
      <x:c r="M100" s="119"/>
      <x:c r="N100" s="119"/>
      <x:c r="O100" s="119"/>
      <x:c r="P100" s="119"/>
      <x:c r="Q100" s="119"/>
      <x:c r="R100" s="119"/>
      <x:c r="S100" s="119"/>
      <x:c r="T100" s="119"/>
      <x:c r="U100" s="119"/>
      <x:c r="V100" s="119"/>
      <x:c r="W100" s="119"/>
      <x:c r="X100" s="119"/>
      <x:c r="Y100" s="119"/>
    </x:row>
    <x:row r="101">
      <x:c r="A101" s="119"/>
      <x:c r="B101" s="119"/>
      <x:c r="C101" s="119"/>
      <x:c r="D101" s="119"/>
      <x:c r="E101" s="119"/>
      <x:c r="F101" s="119"/>
      <x:c r="G101" s="119"/>
      <x:c r="H101" s="119"/>
      <x:c r="I101" s="119"/>
      <x:c r="J101" s="119"/>
      <x:c r="K101" s="119"/>
      <x:c r="L101" s="119"/>
      <x:c r="M101" s="119"/>
      <x:c r="N101" s="119"/>
      <x:c r="O101" s="119"/>
      <x:c r="P101" s="119"/>
      <x:c r="Q101" s="119"/>
      <x:c r="R101" s="119"/>
      <x:c r="S101" s="119"/>
      <x:c r="T101" s="119"/>
      <x:c r="U101" s="119"/>
      <x:c r="V101" s="119"/>
      <x:c r="W101" s="119"/>
      <x:c r="X101" s="119"/>
      <x:c r="Y101" s="119"/>
    </x:row>
    <x:row r="102">
      <x:c r="A102" s="119"/>
      <x:c r="B102" s="119"/>
      <x:c r="C102" s="119"/>
      <x:c r="D102" s="119"/>
      <x:c r="E102" s="119"/>
      <x:c r="F102" s="119"/>
      <x:c r="G102" s="119"/>
      <x:c r="H102" s="119"/>
      <x:c r="I102" s="119"/>
      <x:c r="J102" s="119"/>
      <x:c r="K102" s="119"/>
      <x:c r="L102" s="119"/>
      <x:c r="M102" s="119"/>
      <x:c r="N102" s="119"/>
      <x:c r="O102" s="119"/>
      <x:c r="P102" s="119"/>
      <x:c r="Q102" s="119"/>
      <x:c r="R102" s="119"/>
      <x:c r="S102" s="119"/>
      <x:c r="T102" s="119"/>
      <x:c r="U102" s="119"/>
      <x:c r="V102" s="119"/>
      <x:c r="W102" s="119"/>
      <x:c r="X102" s="119"/>
      <x:c r="Y102" s="119"/>
    </x:row>
    <x:row r="103">
      <x:c r="A103" s="119"/>
      <x:c r="B103" s="119"/>
      <x:c r="C103" s="119"/>
      <x:c r="D103" s="119"/>
      <x:c r="E103" s="119"/>
      <x:c r="F103" s="119"/>
      <x:c r="G103" s="119"/>
      <x:c r="H103" s="119"/>
      <x:c r="I103" s="119"/>
      <x:c r="J103" s="119"/>
      <x:c r="K103" s="119"/>
      <x:c r="L103" s="119"/>
      <x:c r="M103" s="119"/>
      <x:c r="N103" s="119"/>
      <x:c r="O103" s="119"/>
      <x:c r="P103" s="119"/>
      <x:c r="Q103" s="119"/>
      <x:c r="R103" s="119"/>
      <x:c r="S103" s="119"/>
      <x:c r="T103" s="119"/>
      <x:c r="U103" s="119"/>
      <x:c r="V103" s="119"/>
      <x:c r="W103" s="119"/>
      <x:c r="X103" s="119"/>
      <x:c r="Y103" s="119"/>
    </x:row>
    <x:row r="104">
      <x:c r="A104" s="119"/>
      <x:c r="B104" s="119"/>
      <x:c r="C104" s="119"/>
      <x:c r="D104" s="119"/>
      <x:c r="E104" s="119"/>
      <x:c r="F104" s="119"/>
      <x:c r="G104" s="119"/>
      <x:c r="H104" s="119"/>
      <x:c r="I104" s="119"/>
      <x:c r="J104" s="119"/>
      <x:c r="K104" s="119"/>
      <x:c r="L104" s="119"/>
      <x:c r="M104" s="119"/>
      <x:c r="N104" s="119"/>
      <x:c r="O104" s="119"/>
      <x:c r="P104" s="119"/>
      <x:c r="Q104" s="119"/>
      <x:c r="R104" s="119"/>
      <x:c r="S104" s="119"/>
      <x:c r="T104" s="119"/>
      <x:c r="U104" s="119"/>
      <x:c r="V104" s="119"/>
      <x:c r="W104" s="119"/>
      <x:c r="X104" s="119"/>
      <x:c r="Y104" s="119"/>
    </x:row>
    <x:row r="105">
      <x:c r="A105" s="119"/>
      <x:c r="B105" s="119"/>
      <x:c r="C105" s="119"/>
      <x:c r="D105" s="119"/>
      <x:c r="E105" s="119"/>
      <x:c r="F105" s="119"/>
      <x:c r="G105" s="119"/>
      <x:c r="H105" s="119"/>
      <x:c r="I105" s="119"/>
      <x:c r="J105" s="119"/>
      <x:c r="K105" s="119"/>
      <x:c r="L105" s="119"/>
      <x:c r="M105" s="119"/>
      <x:c r="N105" s="119"/>
      <x:c r="O105" s="119"/>
      <x:c r="P105" s="119"/>
      <x:c r="Q105" s="119"/>
      <x:c r="R105" s="119"/>
      <x:c r="S105" s="119"/>
      <x:c r="T105" s="119"/>
      <x:c r="U105" s="119"/>
      <x:c r="V105" s="119"/>
      <x:c r="W105" s="119"/>
      <x:c r="X105" s="119"/>
      <x:c r="Y105" s="119"/>
    </x:row>
    <x:row r="106">
      <x:c r="A106" s="119"/>
      <x:c r="B106" s="119"/>
      <x:c r="C106" s="119"/>
      <x:c r="D106" s="119"/>
      <x:c r="E106" s="119"/>
      <x:c r="F106" s="119"/>
      <x:c r="G106" s="119"/>
      <x:c r="H106" s="119"/>
      <x:c r="I106" s="119"/>
      <x:c r="J106" s="119"/>
      <x:c r="K106" s="119"/>
      <x:c r="L106" s="119"/>
      <x:c r="M106" s="119"/>
      <x:c r="N106" s="119"/>
      <x:c r="O106" s="119"/>
      <x:c r="P106" s="119"/>
      <x:c r="Q106" s="119"/>
      <x:c r="R106" s="119"/>
      <x:c r="S106" s="119"/>
      <x:c r="T106" s="119"/>
      <x:c r="U106" s="119"/>
      <x:c r="V106" s="119"/>
      <x:c r="W106" s="119"/>
      <x:c r="X106" s="119"/>
      <x:c r="Y106" s="119"/>
    </x:row>
    <x:row r="107">
      <x:c r="A107" s="119"/>
      <x:c r="B107" s="119"/>
      <x:c r="C107" s="119"/>
      <x:c r="D107" s="119"/>
      <x:c r="E107" s="119"/>
      <x:c r="F107" s="119"/>
      <x:c r="G107" s="119"/>
      <x:c r="H107" s="119"/>
      <x:c r="I107" s="119"/>
      <x:c r="J107" s="119"/>
      <x:c r="K107" s="119"/>
      <x:c r="L107" s="119"/>
      <x:c r="M107" s="119"/>
      <x:c r="N107" s="119"/>
      <x:c r="O107" s="119"/>
      <x:c r="P107" s="119"/>
      <x:c r="Q107" s="119"/>
      <x:c r="R107" s="119"/>
      <x:c r="S107" s="119"/>
      <x:c r="T107" s="119"/>
      <x:c r="U107" s="119"/>
      <x:c r="V107" s="119"/>
      <x:c r="W107" s="119"/>
      <x:c r="X107" s="119"/>
      <x:c r="Y107" s="119"/>
    </x:row>
    <x:row r="108">
      <x:c r="A108" s="119"/>
      <x:c r="B108" s="119"/>
      <x:c r="C108" s="119"/>
      <x:c r="D108" s="119"/>
      <x:c r="E108" s="119"/>
      <x:c r="F108" s="119"/>
      <x:c r="G108" s="119"/>
      <x:c r="H108" s="119"/>
      <x:c r="I108" s="119"/>
      <x:c r="J108" s="119"/>
      <x:c r="K108" s="119"/>
      <x:c r="L108" s="119"/>
      <x:c r="M108" s="119"/>
      <x:c r="N108" s="119"/>
      <x:c r="O108" s="119"/>
      <x:c r="P108" s="119"/>
      <x:c r="Q108" s="119"/>
      <x:c r="R108" s="119"/>
      <x:c r="S108" s="119"/>
      <x:c r="T108" s="119"/>
      <x:c r="U108" s="119"/>
      <x:c r="V108" s="119"/>
      <x:c r="W108" s="119"/>
      <x:c r="X108" s="119"/>
      <x:c r="Y108" s="119"/>
    </x:row>
    <x:row r="109">
      <x:c r="A109" s="119"/>
      <x:c r="B109" s="119"/>
      <x:c r="C109" s="119"/>
      <x:c r="D109" s="119"/>
      <x:c r="E109" s="119"/>
      <x:c r="F109" s="119"/>
      <x:c r="G109" s="119"/>
      <x:c r="H109" s="119"/>
      <x:c r="I109" s="119"/>
      <x:c r="J109" s="119"/>
      <x:c r="K109" s="119"/>
      <x:c r="L109" s="119"/>
      <x:c r="M109" s="119"/>
      <x:c r="N109" s="119"/>
      <x:c r="O109" s="119"/>
      <x:c r="P109" s="119"/>
      <x:c r="Q109" s="119"/>
      <x:c r="R109" s="119"/>
      <x:c r="S109" s="119"/>
      <x:c r="T109" s="119"/>
      <x:c r="U109" s="119"/>
      <x:c r="V109" s="119"/>
      <x:c r="W109" s="119"/>
      <x:c r="X109" s="119"/>
      <x:c r="Y109" s="119"/>
    </x:row>
    <x:row r="110">
      <x:c r="A110" s="119"/>
      <x:c r="B110" s="119"/>
      <x:c r="C110" s="119"/>
      <x:c r="D110" s="119"/>
      <x:c r="E110" s="119"/>
      <x:c r="F110" s="119"/>
      <x:c r="G110" s="119"/>
      <x:c r="H110" s="119"/>
      <x:c r="I110" s="119"/>
      <x:c r="J110" s="119"/>
      <x:c r="K110" s="119"/>
      <x:c r="L110" s="119"/>
      <x:c r="M110" s="119"/>
      <x:c r="N110" s="119"/>
      <x:c r="O110" s="119"/>
      <x:c r="P110" s="119"/>
      <x:c r="Q110" s="119"/>
      <x:c r="R110" s="119"/>
      <x:c r="S110" s="119"/>
      <x:c r="T110" s="119"/>
      <x:c r="U110" s="119"/>
      <x:c r="V110" s="119"/>
      <x:c r="W110" s="119"/>
      <x:c r="X110" s="119"/>
      <x:c r="Y110" s="119"/>
    </x:row>
    <x:row r="111">
      <x:c r="A111" s="119"/>
      <x:c r="B111" s="119"/>
      <x:c r="C111" s="119"/>
      <x:c r="D111" s="119"/>
      <x:c r="E111" s="119"/>
      <x:c r="F111" s="119"/>
      <x:c r="G111" s="119"/>
      <x:c r="H111" s="119"/>
      <x:c r="I111" s="119"/>
      <x:c r="J111" s="119"/>
      <x:c r="K111" s="119"/>
      <x:c r="L111" s="119"/>
      <x:c r="M111" s="119"/>
      <x:c r="N111" s="119"/>
      <x:c r="O111" s="119"/>
      <x:c r="P111" s="119"/>
      <x:c r="Q111" s="119"/>
      <x:c r="R111" s="119"/>
      <x:c r="S111" s="119"/>
      <x:c r="T111" s="119"/>
      <x:c r="U111" s="119"/>
      <x:c r="V111" s="119"/>
      <x:c r="W111" s="119"/>
      <x:c r="X111" s="119"/>
      <x:c r="Y111" s="119"/>
    </x:row>
    <x:row r="112">
      <x:c r="A112" s="119"/>
      <x:c r="B112" s="119"/>
      <x:c r="C112" s="119"/>
      <x:c r="D112" s="119"/>
      <x:c r="E112" s="119"/>
      <x:c r="F112" s="119"/>
      <x:c r="G112" s="119"/>
      <x:c r="H112" s="119"/>
      <x:c r="I112" s="119"/>
      <x:c r="J112" s="119"/>
      <x:c r="K112" s="119"/>
      <x:c r="L112" s="119"/>
      <x:c r="M112" s="119"/>
      <x:c r="N112" s="119"/>
      <x:c r="O112" s="119"/>
      <x:c r="P112" s="119"/>
      <x:c r="Q112" s="119"/>
      <x:c r="R112" s="119"/>
      <x:c r="S112" s="119"/>
      <x:c r="T112" s="119"/>
      <x:c r="U112" s="119"/>
      <x:c r="V112" s="119"/>
      <x:c r="W112" s="119"/>
      <x:c r="X112" s="119"/>
      <x:c r="Y112" s="119"/>
    </x:row>
    <x:row r="113">
      <x:c r="A113" s="119"/>
      <x:c r="B113" s="119"/>
      <x:c r="C113" s="119"/>
      <x:c r="D113" s="119"/>
      <x:c r="E113" s="119"/>
      <x:c r="F113" s="119"/>
      <x:c r="G113" s="119"/>
      <x:c r="H113" s="119"/>
      <x:c r="I113" s="119"/>
      <x:c r="J113" s="119"/>
      <x:c r="K113" s="119"/>
      <x:c r="L113" s="119"/>
      <x:c r="M113" s="119"/>
      <x:c r="N113" s="119"/>
      <x:c r="O113" s="119"/>
      <x:c r="P113" s="119"/>
      <x:c r="Q113" s="119"/>
      <x:c r="R113" s="119"/>
      <x:c r="S113" s="119"/>
      <x:c r="T113" s="119"/>
      <x:c r="U113" s="119"/>
      <x:c r="V113" s="119"/>
      <x:c r="W113" s="119"/>
      <x:c r="X113" s="119"/>
      <x:c r="Y113" s="119"/>
    </x:row>
    <x:row r="114">
      <x:c r="A114" s="119"/>
      <x:c r="B114" s="119"/>
      <x:c r="C114" s="119"/>
      <x:c r="D114" s="119"/>
      <x:c r="E114" s="119"/>
      <x:c r="F114" s="119"/>
      <x:c r="G114" s="119"/>
      <x:c r="H114" s="119"/>
      <x:c r="I114" s="119"/>
      <x:c r="J114" s="119"/>
      <x:c r="K114" s="119"/>
      <x:c r="L114" s="119"/>
      <x:c r="M114" s="119"/>
      <x:c r="N114" s="119"/>
      <x:c r="O114" s="119"/>
      <x:c r="P114" s="119"/>
      <x:c r="Q114" s="119"/>
      <x:c r="R114" s="119"/>
      <x:c r="S114" s="119"/>
      <x:c r="T114" s="119"/>
      <x:c r="U114" s="119"/>
      <x:c r="V114" s="119"/>
      <x:c r="W114" s="119"/>
      <x:c r="X114" s="119"/>
      <x:c r="Y114" s="119"/>
    </x:row>
    <x:row r="115">
      <x:c r="A115" s="119"/>
      <x:c r="B115" s="119"/>
      <x:c r="C115" s="119"/>
      <x:c r="D115" s="119"/>
      <x:c r="E115" s="119"/>
      <x:c r="F115" s="119"/>
      <x:c r="G115" s="119"/>
      <x:c r="H115" s="119"/>
      <x:c r="I115" s="119"/>
      <x:c r="J115" s="119"/>
      <x:c r="K115" s="119"/>
      <x:c r="L115" s="119"/>
      <x:c r="M115" s="119"/>
      <x:c r="N115" s="119"/>
      <x:c r="O115" s="119"/>
      <x:c r="P115" s="119"/>
      <x:c r="Q115" s="119"/>
      <x:c r="R115" s="119"/>
      <x:c r="S115" s="119"/>
      <x:c r="T115" s="119"/>
      <x:c r="U115" s="119"/>
      <x:c r="V115" s="119"/>
      <x:c r="W115" s="119"/>
      <x:c r="X115" s="119"/>
      <x:c r="Y115" s="119"/>
    </x:row>
    <x:row r="116">
      <x:c r="A116" s="119"/>
      <x:c r="B116" s="119"/>
      <x:c r="C116" s="119"/>
      <x:c r="D116" s="119"/>
      <x:c r="E116" s="119"/>
      <x:c r="F116" s="119"/>
      <x:c r="G116" s="119"/>
      <x:c r="H116" s="119"/>
      <x:c r="I116" s="119"/>
      <x:c r="J116" s="119"/>
      <x:c r="K116" s="119"/>
      <x:c r="L116" s="119"/>
      <x:c r="M116" s="119"/>
      <x:c r="N116" s="119"/>
      <x:c r="O116" s="119"/>
      <x:c r="P116" s="119"/>
      <x:c r="Q116" s="119"/>
      <x:c r="R116" s="119"/>
      <x:c r="S116" s="119"/>
      <x:c r="T116" s="119"/>
      <x:c r="U116" s="119"/>
      <x:c r="V116" s="119"/>
      <x:c r="W116" s="119"/>
      <x:c r="X116" s="119"/>
      <x:c r="Y116" s="119"/>
    </x:row>
    <x:row r="117">
      <x:c r="A117" s="119"/>
      <x:c r="B117" s="119"/>
      <x:c r="C117" s="119"/>
      <x:c r="D117" s="119"/>
      <x:c r="E117" s="119"/>
      <x:c r="F117" s="119"/>
      <x:c r="G117" s="119"/>
      <x:c r="H117" s="119"/>
      <x:c r="I117" s="119"/>
      <x:c r="J117" s="119"/>
      <x:c r="K117" s="119"/>
      <x:c r="L117" s="119"/>
      <x:c r="M117" s="119"/>
      <x:c r="N117" s="119"/>
      <x:c r="O117" s="119"/>
      <x:c r="P117" s="119"/>
      <x:c r="Q117" s="119"/>
      <x:c r="R117" s="119"/>
      <x:c r="S117" s="119"/>
      <x:c r="T117" s="119"/>
      <x:c r="U117" s="119"/>
      <x:c r="V117" s="119"/>
      <x:c r="W117" s="119"/>
      <x:c r="X117" s="119"/>
      <x:c r="Y117" s="119"/>
    </x:row>
    <x:row r="118">
      <x:c r="A118" s="119"/>
      <x:c r="B118" s="119"/>
      <x:c r="C118" s="119"/>
      <x:c r="D118" s="119"/>
      <x:c r="E118" s="119"/>
      <x:c r="F118" s="119"/>
      <x:c r="G118" s="119"/>
      <x:c r="H118" s="119"/>
      <x:c r="I118" s="119"/>
      <x:c r="J118" s="119"/>
      <x:c r="K118" s="119"/>
      <x:c r="L118" s="119"/>
      <x:c r="M118" s="119"/>
      <x:c r="N118" s="119"/>
      <x:c r="O118" s="119"/>
      <x:c r="P118" s="119"/>
      <x:c r="Q118" s="119"/>
      <x:c r="R118" s="119"/>
      <x:c r="S118" s="119"/>
      <x:c r="T118" s="119"/>
      <x:c r="U118" s="119"/>
      <x:c r="V118" s="119"/>
      <x:c r="W118" s="119"/>
      <x:c r="X118" s="119"/>
      <x:c r="Y118" s="119"/>
    </x:row>
    <x:row r="119">
      <x:c r="A119" s="119"/>
      <x:c r="B119" s="119"/>
      <x:c r="C119" s="119"/>
      <x:c r="D119" s="119"/>
      <x:c r="E119" s="119"/>
      <x:c r="F119" s="119"/>
      <x:c r="G119" s="119"/>
      <x:c r="H119" s="119"/>
      <x:c r="I119" s="119"/>
      <x:c r="J119" s="119"/>
      <x:c r="K119" s="119"/>
      <x:c r="L119" s="119"/>
      <x:c r="M119" s="119"/>
      <x:c r="N119" s="119"/>
      <x:c r="O119" s="119"/>
      <x:c r="P119" s="119"/>
      <x:c r="Q119" s="119"/>
      <x:c r="R119" s="119"/>
      <x:c r="S119" s="119"/>
      <x:c r="T119" s="119"/>
      <x:c r="U119" s="119"/>
      <x:c r="V119" s="119"/>
      <x:c r="W119" s="119"/>
      <x:c r="X119" s="119"/>
      <x:c r="Y119" s="119"/>
    </x:row>
    <x:row r="120">
      <x:c r="A120" s="119"/>
      <x:c r="B120" s="119"/>
      <x:c r="C120" s="119"/>
      <x:c r="D120" s="119"/>
      <x:c r="E120" s="119"/>
      <x:c r="F120" s="119"/>
      <x:c r="G120" s="119"/>
      <x:c r="H120" s="119"/>
      <x:c r="I120" s="119"/>
      <x:c r="J120" s="119"/>
      <x:c r="K120" s="119"/>
      <x:c r="L120" s="119"/>
      <x:c r="M120" s="119"/>
      <x:c r="N120" s="119"/>
      <x:c r="O120" s="119"/>
      <x:c r="P120" s="119"/>
      <x:c r="Q120" s="119"/>
      <x:c r="R120" s="119"/>
      <x:c r="S120" s="119"/>
      <x:c r="T120" s="119"/>
      <x:c r="U120" s="119"/>
      <x:c r="V120" s="119"/>
      <x:c r="W120" s="119"/>
      <x:c r="X120" s="119"/>
      <x:c r="Y120" s="119"/>
    </x:row>
  </x:sheetData>
  <x:pageMargins left="0.7" right="0.7" top="0.75" bottom="0.75" header="0.3" footer="0.3"/>
</x:worksheet>
</file>