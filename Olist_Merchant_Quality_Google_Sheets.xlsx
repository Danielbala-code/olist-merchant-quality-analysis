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62f1d4b7d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58ce64b25ce4958"/>
    <x:sheet xmlns:r="http://schemas.openxmlformats.org/officeDocument/2006/relationships" name="Actions" sheetId="2" r:id="Rab7ad26be940474f"/>
    <x:sheet xmlns:r="http://schemas.openxmlformats.org/officeDocument/2006/relationships" name="Monthly KPIs" sheetId="3" r:id="Re4ccd15ddb1b4551"/>
    <x:sheet xmlns:r="http://schemas.openxmlformats.org/officeDocument/2006/relationships" name="Merchant priorities" sheetId="4" r:id="Ra0757e7ebc9c418f"/>
    <x:sheet xmlns:r="http://schemas.openxmlformats.org/officeDocument/2006/relationships" name="Lane priorities" sheetId="5" r:id="R8c6fb269674a4883"/>
    <x:sheet xmlns:r="http://schemas.openxmlformats.org/officeDocument/2006/relationships" name="Definitions" sheetId="6" r:id="Rc742353b082f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%"/>
    <x:numFmt numFmtId="202" formatCode="+0.0;-0.0;0.0"/>
    <x:numFmt numFmtId="203" formatCode="0.0"/>
    <x:numFmt numFmtId="204" formatCode="0.00"/>
    <x:numFmt numFmtId="205" formatCode="#,##0"/>
  </x:numFmts>
  <x:fonts count="8">
    <x:font>
      <x:sz val="11"/>
      <x:name val="Carlito"/>
    </x:font>
    <x:font>
      <x:sz val="10"/>
      <x:color rgb="FF172B4D"/>
      <x:name val="Arial"/>
    </x:font>
    <x:font>
      <x:b/>
      <x:sz val="18"/>
      <x:color rgb="FF172B4D"/>
      <x:name val="Arial"/>
    </x:font>
    <x:font>
      <x:i/>
      <x:sz val="10"/>
      <x:color rgb="FF52606D"/>
      <x:name val="Arial"/>
    </x:font>
    <x:font>
      <x:sz val="9"/>
      <x:color rgb="FF52606D"/>
      <x:name val="Arial"/>
    </x:font>
    <x:font>
      <x:b/>
      <x:sz val="10"/>
      <x:color rgb="FF172B4D"/>
      <x:name val="Arial"/>
    </x:font>
    <x:font>
      <x:b/>
      <x:sz val="10"/>
      <x:color rgb="FFFFFFFF"/>
      <x:name val="Arial"/>
    </x:font>
    <x:font>
      <x:sz val="11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0F2438"/>
      </x:patternFill>
    </x:fill>
    <x:fill>
      <x:patternFill patternType="solid">
        <x:fgColor rgb="FF163A59"/>
      </x:patternFill>
    </x:fill>
    <x:fill>
      <x:patternFill patternType="solid">
        <x:fgColor rgb="FFD9EAF7"/>
      </x:patternFill>
    </x:fill>
  </x:fills>
  <x:borders count="28">
    <x:border/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A7C5DC"/>
      </x:left>
      <x:top style="thin">
        <x:color rgb="FFA7C5DC"/>
      </x:top>
    </x:border>
    <x:border>
      <x:top style="thin">
        <x:color rgb="FFA7C5DC"/>
      </x:top>
    </x:border>
    <x:border>
      <x:right style="thin">
        <x:color rgb="FFA7C5DC"/>
      </x:right>
      <x:top style="thin">
        <x:color rgb="FFA7C5DC"/>
      </x:top>
    </x:border>
    <x:border>
      <x:left style="thin">
        <x:color rgb="FFA7C5DC"/>
      </x:left>
      <x:bottom style="thin">
        <x:color rgb="FFA7C5DC"/>
      </x:bottom>
    </x:border>
    <x:border>
      <x:bottom style="thin">
        <x:color rgb="FFA7C5DC"/>
      </x:bottom>
    </x:border>
    <x:border>
      <x:right style="thin">
        <x:color rgb="FFA7C5DC"/>
      </x:right>
      <x:bottom style="thin">
        <x:color rgb="FFA7C5DC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0" fontId="5" fillId="2" borderId="1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5" xfId="0" applyNumberFormat="1" applyFont="1" applyFill="1" applyBorder="1"/>
    <x:xf numFmtId="201" fontId="1" fillId="0" borderId="6" xfId="0" applyNumberFormat="1" applyFont="1" applyFill="1" applyBorder="1"/>
    <x:xf numFmtId="202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1" fontId="1" fillId="0" borderId="9" xfId="0" applyNumberFormat="1" applyFont="1" applyFill="1" applyBorder="1"/>
    <x:xf numFmtId="202" fontId="1" fillId="0" borderId="9" xfId="0" applyNumberFormat="1" applyFont="1" applyFill="1" applyBorder="1"/>
    <x:xf numFmtId="0" fontId="1" fillId="0" borderId="10" xfId="0" applyNumberFormat="1" applyFont="1" applyFill="1" applyBorder="1"/>
    <x:xf numFmtId="203" fontId="1" fillId="0" borderId="9" xfId="0" applyNumberFormat="1" applyFont="1" applyFill="1" applyBorder="1"/>
    <x:xf numFmtId="204" fontId="1" fillId="0" borderId="9" xfId="0" applyNumberFormat="1" applyFont="1" applyFill="1" applyBorder="1"/>
    <x:xf numFmtId="0" fontId="1" fillId="0" borderId="11" xfId="0" applyNumberFormat="1" applyFont="1" applyFill="1" applyBorder="1"/>
    <x:xf numFmtId="205" fontId="1" fillId="0" borderId="12" xfId="0" applyNumberFormat="1" applyFont="1" applyFill="1" applyBorder="1"/>
    <x:xf numFmtId="202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5" fontId="1" fillId="0" borderId="12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wrapText="1"/>
    </x:xf>
    <x:xf numFmtId="0" fontId="7" fillId="5" borderId="17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vertical="center" wrapText="1"/>
    </x:xf>
    <x:xf numFmtId="0" fontId="7" fillId="5" borderId="15" xfId="0" applyNumberFormat="1" applyFont="1" applyFill="1" applyBorder="1" applyAlignment="1">
      <x:alignment vertical="center" wrapText="1"/>
    </x:xf>
    <x:xf numFmtId="0" fontId="7" fillId="5" borderId="16" xfId="0" applyNumberFormat="1" applyFont="1" applyFill="1" applyBorder="1" applyAlignment="1">
      <x:alignment vertical="center" wrapText="1"/>
    </x:xf>
    <x:xf numFmtId="0" fontId="7" fillId="5" borderId="17" xfId="0" applyNumberFormat="1" applyFont="1" applyFill="1" applyBorder="1" applyAlignment="1">
      <x:alignment vertical="center" wrapText="1"/>
    </x:xf>
    <x:xf numFmtId="0" fontId="7" fillId="5" borderId="18" xfId="0" applyNumberFormat="1" applyFont="1" applyFill="1" applyBorder="1" applyAlignment="1">
      <x:alignment vertical="center" wrapText="1"/>
    </x:xf>
    <x:xf numFmtId="0" fontId="7" fillId="5" borderId="19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0" borderId="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5" fontId="1" fillId="0" borderId="9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1" fillId="2" borderId="22" xfId="0" applyNumberFormat="1" applyFont="1" applyFill="1" applyBorder="1"/>
    <x:xf numFmtId="0" fontId="1" fillId="2" borderId="23" xfId="0" applyNumberFormat="1" applyFont="1" applyFill="1" applyBorder="1"/>
    <x:xf numFmtId="0" fontId="1" fillId="2" borderId="24" xfId="0" applyNumberFormat="1" applyFont="1" applyFill="1" applyBorder="1"/>
    <x:xf numFmtId="0" fontId="1" fillId="2" borderId="25" xfId="0" applyNumberFormat="1" applyFont="1" applyFill="1" applyBorder="1"/>
    <x:xf numFmtId="0" fontId="1" fillId="2" borderId="26" xfId="0" applyNumberFormat="1" applyFont="1" applyFill="1" applyBorder="1"/>
    <x:xf numFmtId="0" fontId="1" fillId="2" borderId="27" xfId="0" applyNumberFormat="1" applyFont="1" applyFill="1" applyBorder="1"/>
    <x:xf numFmtId="0" fontId="1" fillId="2" borderId="20" xfId="0" applyNumberFormat="1" applyFont="1" applyFill="1" applyBorder="1" applyAlignment="1">
      <x:alignment wrapText="1"/>
    </x:xf>
    <x:xf numFmtId="0" fontId="1" fillId="2" borderId="21" xfId="0" applyNumberFormat="1" applyFont="1" applyFill="1" applyBorder="1" applyAlignment="1">
      <x:alignment wrapText="1"/>
    </x:xf>
    <x:xf numFmtId="0" fontId="1" fillId="2" borderId="22" xfId="0" applyNumberFormat="1" applyFont="1" applyFill="1" applyBorder="1" applyAlignment="1">
      <x:alignment wrapText="1"/>
    </x:xf>
    <x:xf numFmtId="0" fontId="1" fillId="2" borderId="2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24" xfId="0" applyNumberFormat="1" applyFont="1" applyFill="1" applyBorder="1" applyAlignment="1">
      <x:alignment wrapText="1"/>
    </x:xf>
    <x:xf numFmtId="0" fontId="1" fillId="2" borderId="25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wrapText="1"/>
    </x:xf>
    <x:xf numFmtId="0" fontId="1" fillId="2" borderId="27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vertical="center" wrapText="1"/>
    </x:xf>
    <x:xf numFmtId="0" fontId="1" fillId="2" borderId="21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vertical="center" wrapText="1"/>
    </x:xf>
    <x:xf numFmtId="0" fontId="1" fillId="2" borderId="26" xfId="0" applyNumberFormat="1" applyFont="1" applyFill="1" applyBorder="1" applyAlignment="1">
      <x:alignment vertical="center" wrapText="1"/>
    </x:xf>
    <x:xf numFmtId="0" fontId="1" fillId="2" borderId="27" xfId="0" applyNumberFormat="1" applyFont="1" applyFill="1" applyBorder="1" applyAlignment="1">
      <x:alignment vertical="center" wrapText="1"/>
    </x:xf>
    <x:xf numFmtId="201" fontId="1" fillId="0" borderId="7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1" fillId="0" borderId="13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03896121b4d74" /><Relationship Type="http://schemas.openxmlformats.org/officeDocument/2006/relationships/theme" Target="/xl/theme/theme1.xml" Id="R336cdafe821942a9" /><Relationship Type="http://schemas.openxmlformats.org/officeDocument/2006/relationships/sharedStrings" Target="/xl/sharedStrings.xml" Id="Ra0fde65caad94fa5" /><Relationship Type="http://schemas.openxmlformats.org/officeDocument/2006/relationships/worksheet" Target="/xl/worksheets/sheet1.xml" Id="Rc58ce64b25ce4958" /><Relationship Type="http://schemas.openxmlformats.org/officeDocument/2006/relationships/worksheet" Target="/xl/worksheets/sheet2.xml" Id="Rab7ad26be940474f" /><Relationship Type="http://schemas.openxmlformats.org/officeDocument/2006/relationships/worksheet" Target="/xl/worksheets/sheet3.xml" Id="Re4ccd15ddb1b4551" /><Relationship Type="http://schemas.openxmlformats.org/officeDocument/2006/relationships/worksheet" Target="/xl/worksheets/sheet4.xml" Id="Ra0757e7ebc9c418f" /><Relationship Type="http://schemas.openxmlformats.org/officeDocument/2006/relationships/worksheet" Target="/xl/worksheets/sheet5.xml" Id="R8c6fb269674a4883" /><Relationship Type="http://schemas.openxmlformats.org/officeDocument/2006/relationships/worksheet" Target="/xl/worksheets/sheet6.xml" Id="Rc742353b082f42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83c4554b7c4a17" /><Relationship Type="http://schemas.openxmlformats.org/officeDocument/2006/relationships/chart" Target="/xl/drawings/charts/chart2.xml" Id="Rd7d15d65d0cd4f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On-time delivery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'Monthly KPIs'!$A$6:$A$25</c:f>
              <c:strCache>
                <c:ptCount val="0"/>
              </c:strCache>
            </c:strRef>
          </c:cat>
          <c:val>
            <c:numRef>
              <c:f>'Monthly KPIs'!$C$6:$C$25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stage days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Approval to carrier days</c:v>
          </c:tx>
          <c:cat>
            <c:strRef>
              <c:f>'Monthly KPIs'!$A$30:$A$31</c:f>
              <c:strCache>
                <c:ptCount val="0"/>
              </c:strCache>
            </c:strRef>
          </c:cat>
          <c:val>
            <c:numRef>
              <c:f>'Monthly KPIs'!$D$30:$D$31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Carrier to delivery days</c:v>
          </c:tx>
          <c:cat>
            <c:strRef>
              <c:f>'Monthly KPIs'!$A$30:$A$31</c:f>
              <c:strCache>
                <c:ptCount val="0"/>
              </c:strCache>
            </c:strRef>
          </c:cat>
          <c:val>
            <c:numRef>
              <c:f>'Monthly KPIs'!$E$30:$E$31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83c4554b7c4a17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d15d65d0cd4fb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3e0235777d48cf" /></Relationships>
</file>

<file path=xl/worksheets/sheet1.xml><?xml version="1.0" encoding="utf-8"?>
<x:worksheet xmlns:x="http://schemas.openxmlformats.org/spreadsheetml/2006/main">
  <x:sheetPr>
    <x:tabColor rgb="FF2BC3E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34" hidden="0" customWidth="1"/>
    <x:col min="6" max="6" width="28" hidden="0" customWidth="1"/>
  </x:cols>
  <x:sheetData>
    <x:row r="1" ht="27" customHeight="1">
      <x:c r="A1" s="2" t="str">
        <x:v>Merchant delivery quality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" customHeight="1">
      <x:c r="A2" s="3" t="str">
        <x:v>Olist fulfilment proxy | Brazil | 2016–2018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4" t="str">
        <x:v>Source: https://www.kaggle.com/olistbr/brazilian-ecommerce/home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5" t="str">
        <x:v>Selected month</x:v>
      </x:c>
      <x:c r="B5" s="9" t="str">
        <x:v>2018-08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21" t="str">
        <x:v>Metric</x:v>
      </x:c>
      <x:c r="B7" s="22" t="str">
        <x:v>Selected</x:v>
      </x:c>
      <x:c r="C7" s="22" t="str">
        <x:v>Change vs prior</x:v>
      </x:c>
      <x:c r="D7" s="22" t="str">
        <x:v>Change vs overall</x:v>
      </x:c>
      <x:c r="E7" s="23" t="str">
        <x:v>Unit / question</x:v>
      </x:c>
      <x:c r="F7" s="1"/>
      <x:c r="G7" s="1"/>
      <x:c r="H7" s="1"/>
      <x:c r="I7" s="1"/>
      <x:c r="J7" s="1"/>
      <x:c r="K7" s="1"/>
    </x:row>
    <x:row r="8" ht="27" customHeight="1">
      <x:c r="A8" s="57" t="str">
        <x:v>On-time delivery</x:v>
      </x:c>
      <x:c r="B8" s="44" t="n">
        <x:f>INDEX('Monthly KPIs'!$C$5:$C$25,MATCH($B$5,'Monthly KPIs'!$A$5:$A$25,0))</x:f>
        <x:v>0.9370091360794999</x:v>
      </x:c>
      <x:c r="C8" s="45" t="n">
        <x:f>IF(MATCH($B$5,'Monthly KPIs'!$A$5:$A$25,0)&lt;=2,"",(B8-INDEX('Monthly KPIs'!$C$5:$C$25,MATCH($B$5,'Monthly KPIs'!$A$5:$A$25,0)-1))*100)</x:f>
        <x:v>-2.86617667097393</x:v>
      </x:c>
      <x:c r="D8" s="45" t="n">
        <x:f>(B8-Definitions!$B21)*100</x:f>
        <x:v>0.55106330068595</x:v>
      </x:c>
      <x:c r="E8" s="60" t="str">
        <x:v>percentage points — Did delivery meet the customer promise?</x:v>
      </x:c>
      <x:c r="F8" s="1"/>
      <x:c r="G8" s="1"/>
      <x:c r="H8" s="1"/>
      <x:c r="I8" s="1"/>
      <x:c r="J8" s="1"/>
      <x:c r="K8" s="1"/>
    </x:row>
    <x:row r="9" ht="27" customHeight="1">
      <x:c r="A9" s="58" t="str">
        <x:v>Late dispatch</x:v>
      </x:c>
      <x:c r="B9" s="48" t="n">
        <x:f>INDEX('Monthly KPIs'!$D$5:$D$25,MATCH($B$5,'Monthly KPIs'!$A$5:$A$25,0))</x:f>
        <x:v>0.0921622054816477</x:v>
      </x:c>
      <x:c r="C9" s="49" t="n">
        <x:f>IF(MATCH($B$5,'Monthly KPIs'!$A$5:$A$25,0)&lt;=2,"",(B9-INDEX('Monthly KPIs'!$D$5:$D$25,MATCH($B$5,'Monthly KPIs'!$A$5:$A$25,0)-1))*100)</x:f>
        <x:v>0.1223106620449485</x:v>
      </x:c>
      <x:c r="D9" s="49" t="n">
        <x:f>(B9-Definitions!$B22)*100</x:f>
        <x:v>0.12005902537972069</x:v>
      </x:c>
      <x:c r="E9" s="61" t="str">
        <x:v>percentage points — Did handover miss the seller deadline?</x:v>
      </x:c>
      <x:c r="F9" s="1"/>
      <x:c r="G9" s="1"/>
      <x:c r="H9" s="1"/>
      <x:c r="I9" s="1"/>
      <x:c r="J9" s="1"/>
      <x:c r="K9" s="1"/>
    </x:row>
    <x:row r="10" ht="27" customHeight="1">
      <x:c r="A10" s="58" t="str">
        <x:v>Approval to carrier</x:v>
      </x:c>
      <x:c r="B10" s="51" t="n">
        <x:f>INDEX('Monthly KPIs'!$E$5:$E$25,MATCH($B$5,'Monthly KPIs'!$A$5:$A$25,0))</x:f>
        <x:v>2.214547157299077</x:v>
      </x:c>
      <x:c r="C10" s="49" t="n">
        <x:f>IF(MATCH($B$5,'Monthly KPIs'!$A$5:$A$25,0)&lt;=2,"",(B10-INDEX('Monthly KPIs'!$E$5:$E$25,MATCH($B$5,'Monthly KPIs'!$A$5:$A$25,0)-1)))</x:f>
        <x:v>-0.4157177531532543</x:v>
      </x:c>
      <x:c r="D10" s="49" t="n">
        <x:f>(B10-Definitions!$B23)</x:f>
        <x:v>-0.6505592820603363</x:v>
      </x:c>
      <x:c r="E10" s="61" t="str">
        <x:v>days — How long was the observable pre-carrier stage?</x:v>
      </x:c>
      <x:c r="F10" s="1"/>
      <x:c r="G10" s="1"/>
      <x:c r="H10" s="1"/>
      <x:c r="I10" s="1"/>
      <x:c r="J10" s="1"/>
      <x:c r="K10" s="1"/>
    </x:row>
    <x:row r="11" ht="27" customHeight="1">
      <x:c r="A11" s="58" t="str">
        <x:v>Carrier to delivery</x:v>
      </x:c>
      <x:c r="B11" s="51" t="n">
        <x:f>INDEX('Monthly KPIs'!$F$5:$F$25,MATCH($B$5,'Monthly KPIs'!$A$5:$A$25,0))</x:f>
        <x:v>5.217998601612913</x:v>
      </x:c>
      <x:c r="C11" s="49" t="n">
        <x:f>IF(MATCH($B$5,'Monthly KPIs'!$A$5:$A$25,0)&lt;=2,"",(B11-INDEX('Monthly KPIs'!$F$5:$F$25,MATCH($B$5,'Monthly KPIs'!$A$5:$A$25,0)-1)))</x:f>
        <x:v>-0.9343334606544218</x:v>
      </x:c>
      <x:c r="D11" s="49" t="n">
        <x:f>(B11-Definitions!$B24)</x:f>
        <x:v>-4.1469817188134845</x:v>
      </x:c>
      <x:c r="E11" s="61" t="str">
        <x:v>days — How long passed after carrier handover?</x:v>
      </x:c>
      <x:c r="F11" s="1"/>
      <x:c r="G11" s="1"/>
      <x:c r="H11" s="1"/>
      <x:c r="I11" s="1"/>
      <x:c r="J11" s="1"/>
      <x:c r="K11" s="1"/>
    </x:row>
    <x:row r="12" ht="27" customHeight="1">
      <x:c r="A12" s="58" t="str">
        <x:v>Average review score</x:v>
      </x:c>
      <x:c r="B12" s="52" t="n">
        <x:f>INDEX('Monthly KPIs'!$H$5:$H$25,MATCH($B$5,'Monthly KPIs'!$A$5:$A$25,0))</x:f>
        <x:v>4.338292055323255</x:v>
      </x:c>
      <x:c r="C12" s="49" t="n">
        <x:f>IF(MATCH($B$5,'Monthly KPIs'!$A$5:$A$25,0)&lt;=2,"",(B12-INDEX('Monthly KPIs'!$H$5:$H$25,MATCH($B$5,'Monthly KPIs'!$A$5:$A$25,0)-1)))</x:f>
        <x:v>0.0028553233405252954</x:v>
      </x:c>
      <x:c r="D12" s="49" t="n">
        <x:f>(B12-Definitions!$B26)</x:f>
        <x:v>0.16477105168899442</x:v>
      </x:c>
      <x:c r="E12" s="61" t="str">
        <x:v>review points — How did reviewed customers score the order?</x:v>
      </x:c>
      <x:c r="F12" s="1"/>
      <x:c r="G12" s="1"/>
      <x:c r="H12" s="1"/>
      <x:c r="I12" s="1"/>
      <x:c r="J12" s="1"/>
      <x:c r="K12" s="1"/>
    </x:row>
    <x:row r="13" ht="27" customHeight="1">
      <x:c r="A13" s="59" t="str">
        <x:v>Delivered orders</x:v>
      </x:c>
      <x:c r="B13" s="54" t="n">
        <x:f>INDEX('Monthly KPIs'!$B$5:$B$25,MATCH($B$5,'Monthly KPIs'!$A$5:$A$25,0))</x:f>
        <x:v>6239</x:v>
      </x:c>
      <x:c r="C13" s="55" t="n">
        <x:f>IF(MATCH($B$5,'Monthly KPIs'!$A$5:$A$25,0)&lt;=2,"",(B13-INDEX('Monthly KPIs'!$B$5:$B$25,MATCH($B$5,'Monthly KPIs'!$A$5:$A$25,0)-1)))</x:f>
        <x:v>180</x:v>
      </x:c>
      <x:c r="D13" s="55" t="n">
        <x:f>(B13-Definitions!$B20)</x:f>
        <x:v>1706</x:v>
      </x:c>
      <x:c r="E13" s="62" t="str">
        <x:v>orders — How much eligible volume was delivered?</x:v>
      </x:c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64" t="str">
        <x:v>Selected-month summary</x:v>
      </x:c>
      <x:c r="B15" s="64"/>
      <x:c r="C15" s="64"/>
      <x:c r="D15" s="64"/>
      <x:c r="E15" s="64"/>
      <x:c r="F15" s="64"/>
      <x:c r="G15" s="1"/>
      <x:c r="H15" s="1"/>
      <x:c r="I15" s="1"/>
      <x:c r="J15" s="1"/>
      <x:c r="K15" s="1"/>
    </x:row>
    <x:row r="16">
      <x:c r="A16" s="79" t="str">
        <x:f>"On-time delivery was "&amp;TEXT(B8,"0.0%")&amp;", "&amp;IF(C8="","with no prior-month comparison",TEXT(C8,"+0.0;-0.0;0.0")&amp;" percentage points vs prior")&amp;". Late dispatch was "&amp;TEXT(B9,"0.0%")&amp;". Carrier-to-delivery averaged "&amp;TEXT(B11,"0.0")&amp;" days. Review score was "&amp;TEXT(B12,"0.00")&amp;" across "&amp;TEXT(B13,"#,##0")&amp;" orders."</x:f>
        <x:v>On-time delivery was 93.7%, -2.9 percentage points vs prior. Late dispatch was 9.2%. Carrier-to-delivery averaged 5.2 days. Review score was 4.34 across 6,239 orders.</x:v>
      </x:c>
      <x:c r="B16" s="80"/>
      <x:c r="C16" s="80"/>
      <x:c r="D16" s="80"/>
      <x:c r="E16" s="80"/>
      <x:c r="F16" s="81"/>
      <x:c r="G16" s="1"/>
      <x:c r="H16" s="1"/>
      <x:c r="I16" s="1"/>
      <x:c r="J16" s="1"/>
      <x:c r="K16" s="1"/>
    </x:row>
    <x:row r="17">
      <x:c r="A17" s="82"/>
      <x:c r="B17" s="83"/>
      <x:c r="C17" s="83"/>
      <x:c r="D17" s="83"/>
      <x:c r="E17" s="83"/>
      <x:c r="F17" s="84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64" t="str">
        <x:v>On-time delivery trend</x:v>
      </x:c>
      <x:c r="B19" s="64"/>
      <x:c r="C19" s="64"/>
      <x:c r="D19" s="64"/>
      <x:c r="E19" s="64"/>
      <x:c r="F19" s="64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64" t="str">
        <x:v>Where time accumulates</x:v>
      </x:c>
      <x:c r="B34" s="64"/>
      <x:c r="C34" s="64"/>
      <x:c r="D34" s="64"/>
      <x:c r="E34" s="64"/>
      <x:c r="F34" s="64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64" t="str">
        <x:v>Priority merchants by late orders</x:v>
      </x:c>
      <x:c r="B49" s="64"/>
      <x:c r="C49" s="64"/>
      <x:c r="D49" s="64"/>
      <x:c r="E49" s="64"/>
      <x:c r="F49" s="64"/>
      <x:c r="G49" s="1"/>
      <x:c r="H49" s="1"/>
      <x:c r="I49" s="1"/>
      <x:c r="J49" s="1"/>
      <x:c r="K49" s="1"/>
    </x:row>
    <x:row r="50">
      <x:c r="A50" s="21" t="str">
        <x:v>Merchant</x:v>
      </x:c>
      <x:c r="B50" s="22" t="str">
        <x:v>State</x:v>
      </x:c>
      <x:c r="C50" s="22" t="str">
        <x:v>Orders</x:v>
      </x:c>
      <x:c r="D50" s="22" t="str">
        <x:v>Late orders</x:v>
      </x:c>
      <x:c r="E50" s="22" t="str">
        <x:v>Late rate</x:v>
      </x:c>
      <x:c r="F50" s="23" t="str">
        <x:v>First evidence check</x:v>
      </x:c>
      <x:c r="G50" s="1"/>
      <x:c r="H50" s="1"/>
      <x:c r="I50" s="1"/>
      <x:c r="J50" s="1"/>
      <x:c r="K50" s="1"/>
    </x:row>
    <x:row r="51" ht="27" customHeight="1">
      <x:c r="A51" s="43" t="str">
        <x:v>4a3ca9315b…</x:v>
      </x:c>
      <x:c r="B51" s="88" t="str">
        <x:v>SP</x:v>
      </x:c>
      <x:c r="C51" s="91" t="n">
        <x:v>1673</x:v>
      </x:c>
      <x:c r="D51" s="91" t="n">
        <x:v>168</x:v>
      </x:c>
      <x:c r="E51" s="44" t="n">
        <x:v>0.100418410041841</x:v>
      </x:c>
      <x:c r="F51" s="60" t="str">
        <x:v>Lane and downstream evidence</x:v>
      </x:c>
      <x:c r="G51" s="1"/>
      <x:c r="H51" s="1"/>
      <x:c r="I51" s="1"/>
      <x:c r="J51" s="1"/>
      <x:c r="K51" s="1"/>
    </x:row>
    <x:row r="52" ht="27" customHeight="1">
      <x:c r="A52" s="47" t="str">
        <x:v>1f50f92017…</x:v>
      </x:c>
      <x:c r="B52" s="89" t="str">
        <x:v>SP</x:v>
      </x:c>
      <x:c r="C52" s="92" t="n">
        <x:v>1364</x:v>
      </x:c>
      <x:c r="D52" s="92" t="n">
        <x:v>124</x:v>
      </x:c>
      <x:c r="E52" s="48" t="n">
        <x:v>0.09090909090909091</x:v>
      </x:c>
      <x:c r="F52" s="61" t="str">
        <x:v>Handover and downstream evidence</x:v>
      </x:c>
      <x:c r="G52" s="1"/>
      <x:c r="H52" s="1"/>
      <x:c r="I52" s="1"/>
      <x:c r="J52" s="1"/>
      <x:c r="K52" s="1"/>
    </x:row>
    <x:row r="53" ht="27" customHeight="1">
      <x:c r="A53" s="47" t="str">
        <x:v>4869f7a5df…</x:v>
      </x:c>
      <x:c r="B53" s="89" t="str">
        <x:v>SP</x:v>
      </x:c>
      <x:c r="C53" s="92" t="n">
        <x:v>1111</x:v>
      </x:c>
      <x:c r="D53" s="92" t="n">
        <x:v>118</x:v>
      </x:c>
      <x:c r="E53" s="48" t="n">
        <x:v>0.10621062106210621</x:v>
      </x:c>
      <x:c r="F53" s="61" t="str">
        <x:v>Lane and downstream evidence</x:v>
      </x:c>
      <x:c r="G53" s="1"/>
      <x:c r="H53" s="1"/>
      <x:c r="I53" s="1"/>
      <x:c r="J53" s="1"/>
      <x:c r="K53" s="1"/>
    </x:row>
    <x:row r="54" ht="27" customHeight="1">
      <x:c r="A54" s="47" t="str">
        <x:v>ea8482cd71…</x:v>
      </x:c>
      <x:c r="B54" s="89" t="str">
        <x:v>SP</x:v>
      </x:c>
      <x:c r="C54" s="92" t="n">
        <x:v>1116</x:v>
      </x:c>
      <x:c r="D54" s="92" t="n">
        <x:v>96</x:v>
      </x:c>
      <x:c r="E54" s="48" t="n">
        <x:v>0.08602150537634409</x:v>
      </x:c>
      <x:c r="F54" s="61" t="str">
        <x:v>Lane and downstream evidence</x:v>
      </x:c>
      <x:c r="G54" s="1"/>
      <x:c r="H54" s="1"/>
      <x:c r="I54" s="1"/>
      <x:c r="J54" s="1"/>
      <x:c r="K54" s="1"/>
    </x:row>
    <x:row r="55" ht="27" customHeight="1">
      <x:c r="A55" s="53" t="str">
        <x:v>7c67e1448b…</x:v>
      </x:c>
      <x:c r="B55" s="90" t="str">
        <x:v>SP</x:v>
      </x:c>
      <x:c r="C55" s="54" t="n">
        <x:v>963</x:v>
      </x:c>
      <x:c r="D55" s="54" t="n">
        <x:v>89</x:v>
      </x:c>
      <x:c r="E55" s="93" t="n">
        <x:v>0.09241952232606439</x:v>
      </x:c>
      <x:c r="F55" s="62" t="str">
        <x:v>Handover and downstream evidence</x:v>
      </x:c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64" t="str">
        <x:v>Decision summary</x:v>
      </x:c>
      <x:c r="B57" s="64"/>
      <x:c r="C57" s="64"/>
      <x:c r="D57" s="64"/>
      <x:c r="E57" s="64"/>
      <x:c r="F57" s="64"/>
      <x:c r="G57" s="1"/>
      <x:c r="H57" s="1"/>
      <x:c r="I57" s="1"/>
      <x:c r="J57" s="1"/>
      <x:c r="K57" s="1"/>
    </x:row>
    <x:row r="58">
      <x:c r="A58" s="111" t="str">
        <x:v>SP → RJ is the largest excess-late signal: 1,147 late orders, about 596 above the count expected at the overall rate. SP → SP is the healthy high-volume benchmark at 95.3% on time. PR → AL has the highest rate but only 35 orders, so it should be monitored rather than treated as the largest operational impact.</x:v>
      </x:c>
      <x:c r="B58" s="112"/>
      <x:c r="C58" s="112"/>
      <x:c r="D58" s="112"/>
      <x:c r="E58" s="112"/>
      <x:c r="F58" s="113"/>
      <x:c r="G58" s="1"/>
      <x:c r="H58" s="1"/>
      <x:c r="I58" s="1"/>
      <x:c r="J58" s="1"/>
      <x:c r="K58" s="1"/>
    </x:row>
    <x:row r="59">
      <x:c r="A59" s="114"/>
      <x:c r="B59" s="115"/>
      <x:c r="C59" s="115"/>
      <x:c r="D59" s="115"/>
      <x:c r="E59" s="115"/>
      <x:c r="F59" s="116"/>
      <x:c r="G59" s="1"/>
      <x:c r="H59" s="1"/>
      <x:c r="I59" s="1"/>
      <x:c r="J59" s="1"/>
      <x:c r="K59" s="1"/>
    </x:row>
    <x:row r="60">
      <x:c r="A60" s="114"/>
      <x:c r="B60" s="115"/>
      <x:c r="C60" s="115"/>
      <x:c r="D60" s="115"/>
      <x:c r="E60" s="115"/>
      <x:c r="F60" s="116"/>
      <x:c r="G60" s="1"/>
      <x:c r="H60" s="1"/>
      <x:c r="I60" s="1"/>
      <x:c r="J60" s="1"/>
      <x:c r="K60" s="1"/>
    </x:row>
    <x:row r="61">
      <x:c r="A61" s="117"/>
      <x:c r="B61" s="118"/>
      <x:c r="C61" s="118"/>
      <x:c r="D61" s="118"/>
      <x:c r="E61" s="118"/>
      <x:c r="F61" s="119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64" t="str">
        <x:v>How to read the result</x:v>
      </x:c>
      <x:c r="B63" s="64"/>
      <x:c r="C63" s="64"/>
      <x:c r="D63" s="64"/>
      <x:c r="E63" s="64"/>
      <x:c r="F63" s="64"/>
      <x:c r="G63" s="1"/>
      <x:c r="H63" s="1"/>
      <x:c r="I63" s="1"/>
      <x:c r="J63" s="1"/>
      <x:c r="K63" s="1"/>
    </x:row>
    <x:row r="64">
      <x:c r="A64" s="111" t="str">
        <x:v>Late dispatch and on-time delivery use different deadlines. Order approval is the marketplace or payment approval; carrier handover is the later event when the order is recorded as passed into delivery. Small-lane percentages are less stable, so priority uses rate, volume and excess late orders together. The main trend begins in January 2017.</x:v>
      </x:c>
      <x:c r="B64" s="112"/>
      <x:c r="C64" s="112"/>
      <x:c r="D64" s="112"/>
      <x:c r="E64" s="112"/>
      <x:c r="F64" s="113"/>
      <x:c r="G64" s="1"/>
      <x:c r="H64" s="1"/>
      <x:c r="I64" s="1"/>
      <x:c r="J64" s="1"/>
      <x:c r="K64" s="1"/>
    </x:row>
    <x:row r="65">
      <x:c r="A65" s="114"/>
      <x:c r="B65" s="115"/>
      <x:c r="C65" s="115"/>
      <x:c r="D65" s="115"/>
      <x:c r="E65" s="115"/>
      <x:c r="F65" s="116"/>
      <x:c r="G65" s="1"/>
      <x:c r="H65" s="1"/>
      <x:c r="I65" s="1"/>
      <x:c r="J65" s="1"/>
      <x:c r="K65" s="1"/>
    </x:row>
    <x:row r="66">
      <x:c r="A66" s="114"/>
      <x:c r="B66" s="115"/>
      <x:c r="C66" s="115"/>
      <x:c r="D66" s="115"/>
      <x:c r="E66" s="115"/>
      <x:c r="F66" s="116"/>
      <x:c r="G66" s="1"/>
      <x:c r="H66" s="1"/>
      <x:c r="I66" s="1"/>
      <x:c r="J66" s="1"/>
      <x:c r="K66" s="1"/>
    </x:row>
    <x:row r="67">
      <x:c r="A67" s="117"/>
      <x:c r="B67" s="118"/>
      <x:c r="C67" s="118"/>
      <x:c r="D67" s="118"/>
      <x:c r="E67" s="118"/>
      <x:c r="F67" s="119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mergeCells>
    <x:mergeCell ref="A16:F17"/>
    <x:mergeCell ref="A58:F61"/>
    <x:mergeCell ref="A64:F67"/>
  </x:mergeCells>
  <x:conditionalFormatting sqref="E51:E55">
    <x:cfRule type="colorScale" priority="1">
      <x:colorScale>
        <x:cfvo type="min"/>
        <x:cfvo type="percentile" val="50"/>
        <x:cfvo type="max"/>
        <x:color rgb="FFFFF2CC"/>
        <x:color rgb="FFF4A582"/>
        <x:color rgb="FFB2182B"/>
      </x:colorScale>
    </x:cfRule>
  </x:conditionalFormatting>
  <x:dataValidations count="1">
    <x:dataValidation type="list" sqref="B5">
      <x:formula1>'Monthly KPIs'!$A$6:$A$25</x:formula1>
    </x:dataValidation>
  </x:dataValidations>
  <x:pageMargins left="0.7" right="0.7" top="0.75" bottom="0.75" header="0.3" footer="0.3"/>
  <x:drawing xmlns:r="http://schemas.openxmlformats.org/officeDocument/2006/relationships" r:id="R283e0235777d48cf"/>
</x:worksheet>
</file>

<file path=xl/worksheets/sheet2.xml><?xml version="1.0" encoding="utf-8"?>
<x:worksheet xmlns:x="http://schemas.openxmlformats.org/spreadsheetml/2006/main">
  <x:sheetPr>
    <x:tabColor rgb="FF2BC3E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7" customHeight="1">
      <x:c r="A1" s="2" t="str">
        <x:v>Actions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" customHeight="1">
      <x:c r="A2" s="3" t="str">
        <x:v>Observed evidence, ownership and the measure that would change the decision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64" t="str">
        <x:v>1. Largest excess-late signal</x:v>
      </x:c>
      <x:c r="B4" s="64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57" t="str">
        <x:v>Evidence</x:v>
      </x:c>
      <x:c r="B5" s="60" t="str">
        <x:v>SP → RJ: 8,048 orders, 1,147 late, 14.3% late, about 596 above the overall-rate expectation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30" customHeight="1">
      <x:c r="A6" s="58" t="str">
        <x:v>Decision</x:v>
      </x:c>
      <x:c r="B6" s="61" t="str">
        <x:v>Review lane and carrier-stage evidence first; do not infer a carrier cause.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30" customHeight="1">
      <x:c r="A7" s="58" t="str">
        <x:v>Owner</x:v>
      </x:c>
      <x:c r="B7" s="61" t="str">
        <x:v>Network Operations + KAM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30" customHeight="1">
      <x:c r="A8" s="58" t="str">
        <x:v>Success measure</x:v>
      </x:c>
      <x:c r="B8" s="61" t="str">
        <x:v>Late orders, on-time rate and carrier-stage days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30" customHeight="1">
      <x:c r="A9" s="59" t="str">
        <x:v>Evidence limit</x:v>
      </x:c>
      <x:c r="B9" s="62" t="str">
        <x:v>No carrier, hub-scan or exception code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64" t="str">
        <x:v>2. SP order concentration</x:v>
      </x:c>
      <x:c r="B11" s="64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30" customHeight="1">
      <x:c r="A12" s="57" t="str">
        <x:v>Evidence</x:v>
      </x:c>
      <x:c r="B12" s="60" t="str">
        <x:v>SP originates 67,495 of 93,031 orders (72.6%) in published lanes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30" customHeight="1">
      <x:c r="A13" s="58" t="str">
        <x:v>Decision</x:v>
      </x:c>
      <x:c r="B13" s="61" t="str">
        <x:v>Separate SP → SP from SP → other-state performance instead of treating SP as one market.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30" customHeight="1">
      <x:c r="A14" s="58" t="str">
        <x:v>Owner</x:v>
      </x:c>
      <x:c r="B14" s="61" t="str">
        <x:v>Merchant Quality Analyst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30" customHeight="1">
      <x:c r="A15" s="58" t="str">
        <x:v>Success measure</x:v>
      </x:c>
      <x:c r="B15" s="61" t="str">
        <x:v>Same-state and outbound lane KPIs reported separately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30" customHeight="1">
      <x:c r="A16" s="59" t="str">
        <x:v>Evidence limit</x:v>
      </x:c>
      <x:c r="B16" s="62" t="str">
        <x:v>Published lane table excludes lanes below 30 orders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64" t="str">
        <x:v>3. Healthy high-volume benchmark</x:v>
      </x:c>
      <x:c r="B18" s="64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30" customHeight="1">
      <x:c r="A19" s="57" t="str">
        <x:v>Evidence</x:v>
      </x:c>
      <x:c r="B19" s="60" t="str">
        <x:v>SP → SP: 30,313 orders, 95.3% on time, 4.8 carrier days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30" customHeight="1">
      <x:c r="A20" s="58" t="str">
        <x:v>Decision</x:v>
      </x:c>
      <x:c r="B20" s="61" t="str">
        <x:v>Use this lane as a benchmark and investigate which observable practices transfer.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30" customHeight="1">
      <x:c r="A21" s="58" t="str">
        <x:v>Owner</x:v>
      </x:c>
      <x:c r="B21" s="61" t="str">
        <x:v>Operations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30" customHeight="1">
      <x:c r="A22" s="58" t="str">
        <x:v>Success measure</x:v>
      </x:c>
      <x:c r="B22" s="61" t="str">
        <x:v>Stable on-time rate at comparable volume</x:v>
      </x:c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30" customHeight="1">
      <x:c r="A23" s="59" t="str">
        <x:v>Evidence limit</x:v>
      </x:c>
      <x:c r="B23" s="62" t="str">
        <x:v>A same-state benchmark may not transfer to longer lanes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64" t="str">
        <x:v>4. High rate, limited evidence</x:v>
      </x:c>
      <x:c r="B25" s="64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30" customHeight="1">
      <x:c r="A26" s="57" t="str">
        <x:v>Evidence</x:v>
      </x:c>
      <x:c r="B26" s="60" t="str">
        <x:v>PR → AL: 35 orders, 11 late, 31.4% late</x:v>
      </x:c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30" customHeight="1">
      <x:c r="A27" s="58" t="str">
        <x:v>Decision</x:v>
      </x:c>
      <x:c r="B27" s="61" t="str">
        <x:v>Monitor and gather more observations before treating the percentage as the largest operational priority.</x:v>
      </x:c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30" customHeight="1">
      <x:c r="A28" s="58" t="str">
        <x:v>Owner</x:v>
      </x:c>
      <x:c r="B28" s="61" t="str">
        <x:v>Merchant Quality Analyst</x:v>
      </x:c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30" customHeight="1">
      <x:c r="A29" s="58" t="str">
        <x:v>Success measure</x:v>
      </x:c>
      <x:c r="B29" s="61" t="str">
        <x:v>Late-order count and confidence interval after more volume</x:v>
      </x:c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30" customHeight="1">
      <x:c r="A30" s="59" t="str">
        <x:v>Evidence limit</x:v>
      </x:c>
      <x:c r="B30" s="62" t="str">
        <x:v>One additional late order materially changes the rate</x:v>
      </x:c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64" t="str">
        <x:v>5. Between-state delivery gap</x:v>
      </x:c>
      <x:c r="B32" s="64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30" customHeight="1">
      <x:c r="A33" s="57" t="str">
        <x:v>Evidence</x:v>
      </x:c>
      <x:c r="B33" s="60" t="str">
        <x:v>Between-state: 8.1% late and 11.9 carrier days; within-state: 4.6% and 4.8 days</x:v>
      </x:c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30" customHeight="1">
      <x:c r="A34" s="58" t="str">
        <x:v>Decision</x:v>
      </x:c>
      <x:c r="B34" s="61" t="str">
        <x:v>Prioritise downstream lane evidence because dispatch rates are similar across the two groups.</x:v>
      </x:c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30" customHeight="1">
      <x:c r="A35" s="58" t="str">
        <x:v>Owner</x:v>
      </x:c>
      <x:c r="B35" s="61" t="str">
        <x:v>Network Operations</x:v>
      </x:c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30" customHeight="1">
      <x:c r="A36" s="58" t="str">
        <x:v>Success measure</x:v>
      </x:c>
      <x:c r="B36" s="61" t="str">
        <x:v>Carrier-stage days and on-time gap by lane</x:v>
      </x:c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30" customHeight="1">
      <x:c r="A37" s="59" t="str">
        <x:v>Evidence limit</x:v>
      </x:c>
      <x:c r="B37" s="62" t="str">
        <x:v>State crossing is not a distance or causal measure</x:v>
      </x:c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64" t="str">
        <x:v>6. Merchant exception queue</x:v>
      </x:c>
      <x:c r="B39" s="64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30" customHeight="1">
      <x:c r="A40" s="57" t="str">
        <x:v>Evidence</x:v>
      </x:c>
      <x:c r="B40" s="60" t="str">
        <x:v>79 merchants have a 95% Wilson lower bound above the overall late rate</x:v>
      </x:c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30" customHeight="1">
      <x:c r="A41" s="58" t="str">
        <x:v>Decision</x:v>
      </x:c>
      <x:c r="B41" s="61" t="str">
        <x:v>Split cases between seller-handover review and downstream lane review using the observable stage metrics.</x:v>
      </x:c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30" customHeight="1">
      <x:c r="A42" s="58" t="str">
        <x:v>Owner</x:v>
      </x:c>
      <x:c r="B42" s="61" t="str">
        <x:v>KAM + Operations</x:v>
      </x:c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30" customHeight="1">
      <x:c r="A43" s="58" t="str">
        <x:v>Success measure</x:v>
      </x:c>
      <x:c r="B43" s="61" t="str">
        <x:v>Late dispatch, carrier-stage days and late orders</x:v>
      </x:c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30" customHeight="1">
      <x:c r="A44" s="59" t="str">
        <x:v>Evidence limit</x:v>
      </x:c>
      <x:c r="B44" s="62" t="str">
        <x:v>No exception reason or carrier identity</x:v>
      </x:c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21" t="str">
        <x:v>Lane volume band</x:v>
      </x:c>
      <x:c r="B47" s="22" t="str">
        <x:v>Lanes</x:v>
      </x:c>
      <x:c r="C47" s="22" t="str">
        <x:v>Orders</x:v>
      </x:c>
      <x:c r="D47" s="22" t="str">
        <x:v>Late orders</x:v>
      </x:c>
      <x:c r="E47" s="22" t="str">
        <x:v>Weighted late rate</x:v>
      </x:c>
      <x:c r="F47" s="23" t="str">
        <x:v>Average lane rate</x:v>
      </x:c>
      <x:c r="G47" s="1"/>
      <x:c r="H47" s="1"/>
      <x:c r="I47" s="1"/>
      <x:c r="J47" s="1"/>
      <x:c r="K47" s="1"/>
    </x:row>
    <x:row r="48">
      <x:c r="A48" s="43" t="str">
        <x:v>30–49</x:v>
      </x:c>
      <x:c r="B48" s="91" t="n">
        <x:v>26</x:v>
      </x:c>
      <x:c r="C48" s="91" t="n">
        <x:v>987</x:v>
      </x:c>
      <x:c r="D48" s="91" t="n">
        <x:v>80</x:v>
      </x:c>
      <x:c r="E48" s="44" t="n">
        <x:v>0.08105369807497467</x:v>
      </x:c>
      <x:c r="F48" s="120" t="n">
        <x:v>0.08177247968561216</x:v>
      </x:c>
      <x:c r="G48" s="1"/>
      <x:c r="H48" s="1"/>
      <x:c r="I48" s="1"/>
      <x:c r="J48" s="1"/>
      <x:c r="K48" s="1"/>
    </x:row>
    <x:row r="49">
      <x:c r="A49" s="47" t="str">
        <x:v>50–99</x:v>
      </x:c>
      <x:c r="B49" s="92" t="n">
        <x:v>28</x:v>
      </x:c>
      <x:c r="C49" s="92" t="n">
        <x:v>1975</x:v>
      </x:c>
      <x:c r="D49" s="92" t="n">
        <x:v>138</x:v>
      </x:c>
      <x:c r="E49" s="48" t="n">
        <x:v>0.06987341772151899</x:v>
      </x:c>
      <x:c r="F49" s="121" t="n">
        <x:v>0.07098921674585171</x:v>
      </x:c>
      <x:c r="G49" s="1"/>
      <x:c r="H49" s="1"/>
      <x:c r="I49" s="1"/>
      <x:c r="J49" s="1"/>
      <x:c r="K49" s="1"/>
    </x:row>
    <x:row r="50">
      <x:c r="A50" s="47" t="str">
        <x:v>100–499</x:v>
      </x:c>
      <x:c r="B50" s="92" t="n">
        <x:v>43</x:v>
      </x:c>
      <x:c r="C50" s="92" t="n">
        <x:v>9812</x:v>
      </x:c>
      <x:c r="D50" s="92" t="n">
        <x:v>785</x:v>
      </x:c>
      <x:c r="E50" s="48" t="n">
        <x:v>0.08000407664084794</x:v>
      </x:c>
      <x:c r="F50" s="121" t="n">
        <x:v>0.07405273728018869</x:v>
      </x:c>
      <x:c r="G50" s="1"/>
      <x:c r="H50" s="1"/>
      <x:c r="I50" s="1"/>
      <x:c r="J50" s="1"/>
      <x:c r="K50" s="1"/>
    </x:row>
    <x:row r="51">
      <x:c r="A51" s="47" t="str">
        <x:v>500–999</x:v>
      </x:c>
      <x:c r="B51" s="92" t="n">
        <x:v>10</x:v>
      </x:c>
      <x:c r="C51" s="92" t="n">
        <x:v>7443</x:v>
      </x:c>
      <x:c r="D51" s="92" t="n">
        <x:v>530</x:v>
      </x:c>
      <x:c r="E51" s="48" t="n">
        <x:v>0.07120784629853553</x:v>
      </x:c>
      <x:c r="F51" s="121" t="n">
        <x:v>0.0670590272299445</x:v>
      </x:c>
      <x:c r="G51" s="1"/>
      <x:c r="H51" s="1"/>
      <x:c r="I51" s="1"/>
      <x:c r="J51" s="1"/>
      <x:c r="K51" s="1"/>
    </x:row>
    <x:row r="52">
      <x:c r="A52" s="53" t="str">
        <x:v>1,000+</x:v>
      </x:c>
      <x:c r="B52" s="54" t="n">
        <x:v>17</x:v>
      </x:c>
      <x:c r="C52" s="54" t="n">
        <x:v>72814</x:v>
      </x:c>
      <x:c r="D52" s="54" t="n">
        <x:v>4808</x:v>
      </x:c>
      <x:c r="E52" s="93" t="n">
        <x:v>0.06603125772516275</x:v>
      </x:c>
      <x:c r="F52" s="122" t="n">
        <x:v>0.07289102422224283</x:v>
      </x:c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11" t="str">
        <x:v>The volume bands do not show a consistent decline in late rate as volume falls. Small lanes can still produce extreme percentages because each order has a larger effect on the rate. Use the rate to spot a problem and the late-order count to size its impact.</x:v>
      </x:c>
      <x:c r="B54" s="112"/>
      <x:c r="C54" s="112"/>
      <x:c r="D54" s="112"/>
      <x:c r="E54" s="112"/>
      <x:c r="F54" s="113"/>
      <x:c r="G54" s="1"/>
      <x:c r="H54" s="1"/>
      <x:c r="I54" s="1"/>
      <x:c r="J54" s="1"/>
      <x:c r="K54" s="1"/>
    </x:row>
    <x:row r="55">
      <x:c r="A55" s="114"/>
      <x:c r="B55" s="115"/>
      <x:c r="C55" s="115"/>
      <x:c r="D55" s="115"/>
      <x:c r="E55" s="115"/>
      <x:c r="F55" s="116"/>
      <x:c r="G55" s="1"/>
      <x:c r="H55" s="1"/>
      <x:c r="I55" s="1"/>
      <x:c r="J55" s="1"/>
      <x:c r="K55" s="1"/>
    </x:row>
    <x:row r="56">
      <x:c r="A56" s="117"/>
      <x:c r="B56" s="118"/>
      <x:c r="C56" s="118"/>
      <x:c r="D56" s="118"/>
      <x:c r="E56" s="118"/>
      <x:c r="F56" s="119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mergeCells>
    <x:mergeCell ref="A54:F5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63A5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</x:cols>
  <x:sheetData>
    <x:row r="1" ht="27" customHeight="1">
      <x:c r="A1" s="2" t="str">
        <x:v>Monthly KPIs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" customHeight="1">
      <x:c r="A2" s="3" t="str">
        <x:v>Eligible single-seller delivered orders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2" customHeight="1">
      <x:c r="A4" s="21" t="str">
        <x:v>Period</x:v>
      </x:c>
      <x:c r="B4" s="22" t="str">
        <x:v>Delivered orders</x:v>
      </x:c>
      <x:c r="C4" s="22" t="str">
        <x:v>On-time delivery</x:v>
      </x:c>
      <x:c r="D4" s="22" t="str">
        <x:v>Late dispatch</x:v>
      </x:c>
      <x:c r="E4" s="22" t="str">
        <x:v>Approval to carrier days</x:v>
      </x:c>
      <x:c r="F4" s="22" t="str">
        <x:v>Carrier to delivery days</x:v>
      </x:c>
      <x:c r="G4" s="22" t="str">
        <x:v>Purchase to delivery days</x:v>
      </x:c>
      <x:c r="H4" s="22" t="str">
        <x:v>Average review score</x:v>
      </x:c>
      <x:c r="I4" s="23" t="str">
        <x:v>Between-state share</x:v>
      </x:c>
      <x:c r="J4" s="1"/>
      <x:c r="K4" s="1"/>
    </x:row>
    <x:row r="5">
      <x:c r="A5" s="43" t="str">
        <x:v>2016-10</x:v>
      </x:c>
      <x:c r="B5" s="91" t="n">
        <x:v>262</x:v>
      </x:c>
      <x:c r="C5" s="44" t="n">
        <x:v>0.9923664122137404</x:v>
      </x:c>
      <x:c r="D5" s="44" t="n">
        <x:v>0.48854961832061067</x:v>
      </x:c>
      <x:c r="E5" s="123" t="n">
        <x:v>13.079478062270287</x:v>
      </x:c>
      <x:c r="F5" s="123" t="n">
        <x:v>5.914793102210738</x:v>
      </x:c>
      <x:c r="G5" s="123" t="n">
        <x:v>19.72901121183206</x:v>
      </x:c>
      <x:c r="H5" s="125" t="n">
        <x:v>4.027027027027027</x:v>
      </x:c>
      <x:c r="I5" s="120" t="n">
        <x:v>0.6793893129770993</x:v>
      </x:c>
      <x:c r="J5" s="1"/>
      <x:c r="K5" s="1"/>
    </x:row>
    <x:row r="6">
      <x:c r="A6" s="47" t="str">
        <x:v>2017-01</x:v>
      </x:c>
      <x:c r="B6" s="92" t="n">
        <x:v>746</x:v>
      </x:c>
      <x:c r="C6" s="48" t="n">
        <x:v>0.9705093833780161</x:v>
      </x:c>
      <x:c r="D6" s="48" t="n">
        <x:v>0.22117962466487937</x:v>
      </x:c>
      <x:c r="E6" s="51" t="n">
        <x:v>2.915033462141577</x:v>
      </x:c>
      <x:c r="F6" s="51" t="n">
        <x:v>9.234111728601928</x:v>
      </x:c>
      <x:c r="G6" s="51" t="n">
        <x:v>12.655931821566876</x:v>
      </x:c>
      <x:c r="H6" s="52" t="n">
        <x:v>4.201492537313433</x:v>
      </x:c>
      <x:c r="I6" s="121" t="n">
        <x:v>0.6863270777479893</x:v>
      </x:c>
      <x:c r="J6" s="1"/>
      <x:c r="K6" s="1"/>
    </x:row>
    <x:row r="7">
      <x:c r="A7" s="47" t="str">
        <x:v>2017-02</x:v>
      </x:c>
      <x:c r="B7" s="92" t="n">
        <x:v>1641</x:v>
      </x:c>
      <x:c r="C7" s="48" t="n">
        <x:v>0.9701401584399756</x:v>
      </x:c>
      <x:c r="D7" s="48" t="n">
        <x:v>0.17428397318708105</x:v>
      </x:c>
      <x:c r="E7" s="51" t="n">
        <x:v>3.2258327005983256</x:v>
      </x:c>
      <x:c r="F7" s="51" t="n">
        <x:v>9.575570500993072</x:v>
      </x:c>
      <x:c r="G7" s="51" t="n">
        <x:v>13.193812602974699</x:v>
      </x:c>
      <x:c r="H7" s="52" t="n">
        <x:v>4.2109135499693435</x:v>
      </x:c>
      <x:c r="I7" s="121" t="n">
        <x:v>0.6873857404021938</x:v>
      </x:c>
      <x:c r="J7" s="1"/>
      <x:c r="K7" s="1"/>
    </x:row>
    <x:row r="8">
      <x:c r="A8" s="47" t="str">
        <x:v>2017-03</x:v>
      </x:c>
      <x:c r="B8" s="92" t="n">
        <x:v>2541</x:v>
      </x:c>
      <x:c r="C8" s="48" t="n">
        <x:v>0.9543486816214088</x:v>
      </x:c>
      <x:c r="D8" s="48" t="n">
        <x:v>0.06690279417552145</x:v>
      </x:c>
      <x:c r="E8" s="51" t="n">
        <x:v>2.8564249274855333</x:v>
      </x:c>
      <x:c r="F8" s="51" t="n">
        <x:v>9.84694590202166</x:v>
      </x:c>
      <x:c r="G8" s="51" t="n">
        <x:v>12.954732853426034</x:v>
      </x:c>
      <x:c r="H8" s="52" t="n">
        <x:v>4.190126883425853</x:v>
      </x:c>
      <x:c r="I8" s="121" t="n">
        <x:v>0.6973632428177883</x:v>
      </x:c>
      <x:c r="J8" s="1"/>
      <x:c r="K8" s="1"/>
    </x:row>
    <x:row r="9">
      <x:c r="A9" s="47" t="str">
        <x:v>2017-04</x:v>
      </x:c>
      <x:c r="B9" s="92" t="n">
        <x:v>2285</x:v>
      </x:c>
      <x:c r="C9" s="48" t="n">
        <x:v>0.9343544857768052</x:v>
      </x:c>
      <x:c r="D9" s="48" t="n">
        <x:v>0.07177242888402625</x:v>
      </x:c>
      <x:c r="E9" s="51" t="n">
        <x:v>3.1713782515930347</x:v>
      </x:c>
      <x:c r="F9" s="51" t="n">
        <x:v>11.258093357443878</x:v>
      </x:c>
      <x:c r="G9" s="51" t="n">
        <x:v>14.930384117432533</x:v>
      </x:c>
      <x:c r="H9" s="52" t="n">
        <x:v>4.143485915492958</x:v>
      </x:c>
      <x:c r="I9" s="121" t="n">
        <x:v>0.6936542669584245</x:v>
      </x:c>
      <x:c r="J9" s="1"/>
      <x:c r="K9" s="1"/>
    </x:row>
    <x:row r="10">
      <x:c r="A10" s="47" t="str">
        <x:v>2017-05</x:v>
      </x:c>
      <x:c r="B10" s="92" t="n">
        <x:v>3513</x:v>
      </x:c>
      <x:c r="C10" s="48" t="n">
        <x:v>0.9698263592371192</x:v>
      </x:c>
      <x:c r="D10" s="48" t="n">
        <x:v>0.07258753202391119</x:v>
      </x:c>
      <x:c r="E10" s="51" t="n">
        <x:v>2.5816715622452975</x:v>
      </x:c>
      <x:c r="F10" s="51" t="n">
        <x:v>8.368793884619034</x:v>
      </x:c>
      <x:c r="G10" s="51" t="n">
        <x:v>11.350323293244141</x:v>
      </x:c>
      <x:c r="H10" s="52" t="n">
        <x:v>4.242754662840746</x:v>
      </x:c>
      <x:c r="I10" s="121" t="n">
        <x:v>0.681753487048107</x:v>
      </x:c>
      <x:c r="J10" s="1"/>
      <x:c r="K10" s="1"/>
    </x:row>
    <x:row r="11">
      <x:c r="A11" s="47" t="str">
        <x:v>2017-06</x:v>
      </x:c>
      <x:c r="B11" s="92" t="n">
        <x:v>3110</x:v>
      </x:c>
      <x:c r="C11" s="48" t="n">
        <x:v>0.9694533762057878</x:v>
      </x:c>
      <x:c r="D11" s="48" t="n">
        <x:v>0.07781350482315112</x:v>
      </x:c>
      <x:c r="E11" s="51" t="n">
        <x:v>2.7396133528892705</x:v>
      </x:c>
      <x:c r="F11" s="51" t="n">
        <x:v>8.907058156931047</x:v>
      </x:c>
      <x:c r="G11" s="51" t="n">
        <x:v>12.031276560825294</x:v>
      </x:c>
      <x:c r="H11" s="52" t="n">
        <x:v>4.232426303854876</x:v>
      </x:c>
      <x:c r="I11" s="121" t="n">
        <x:v>0.6569131832797428</x:v>
      </x:c>
      <x:c r="J11" s="1"/>
      <x:c r="K11" s="1"/>
    </x:row>
    <x:row r="12">
      <x:c r="A12" s="47" t="str">
        <x:v>2017-07</x:v>
      </x:c>
      <x:c r="B12" s="92" t="n">
        <x:v>3808</x:v>
      </x:c>
      <x:c r="C12" s="48" t="n">
        <x:v>0.9716386554621849</x:v>
      </x:c>
      <x:c r="D12" s="48" t="n">
        <x:v>0.07668067226890757</x:v>
      </x:c>
      <x:c r="E12" s="51" t="n">
        <x:v>2.7119774097784424</x:v>
      </x:c>
      <x:c r="F12" s="51" t="n">
        <x:v>8.554960752095978</x:v>
      </x:c>
      <x:c r="G12" s="51" t="n">
        <x:v>11.651192096196116</x:v>
      </x:c>
      <x:c r="H12" s="52" t="n">
        <x:v>4.276689606493735</x:v>
      </x:c>
      <x:c r="I12" s="121" t="n">
        <x:v>0.6583508403361344</x:v>
      </x:c>
      <x:c r="J12" s="1"/>
      <x:c r="K12" s="1"/>
    </x:row>
    <x:row r="13">
      <x:c r="A13" s="47" t="str">
        <x:v>2017-08</x:v>
      </x:c>
      <x:c r="B13" s="92" t="n">
        <x:v>4135</x:v>
      </x:c>
      <x:c r="C13" s="48" t="n">
        <x:v>0.9707376058041113</x:v>
      </x:c>
      <x:c r="D13" s="48" t="n">
        <x:v>0.06844014510278114</x:v>
      </x:c>
      <x:c r="E13" s="51" t="n">
        <x:v>2.7117018564434052</x:v>
      </x:c>
      <x:c r="F13" s="51" t="n">
        <x:v>8.128430312038157</x:v>
      </x:c>
      <x:c r="G13" s="51" t="n">
        <x:v>11.223447836893726</x:v>
      </x:c>
      <x:c r="H13" s="52" t="n">
        <x:v>4.324001947419669</x:v>
      </x:c>
      <x:c r="I13" s="121" t="n">
        <x:v>0.6548972188633615</x:v>
      </x:c>
      <x:c r="J13" s="1"/>
      <x:c r="K13" s="1"/>
    </x:row>
    <x:row r="14">
      <x:c r="A14" s="47" t="str">
        <x:v>2017-09</x:v>
      </x:c>
      <x:c r="B14" s="92" t="n">
        <x:v>4106</x:v>
      </x:c>
      <x:c r="C14" s="48" t="n">
        <x:v>0.9556746225036532</x:v>
      </x:c>
      <x:c r="D14" s="48" t="n">
        <x:v>0.07259439707673569</x:v>
      </x:c>
      <x:c r="E14" s="51" t="n">
        <x:v>2.7926052525314224</x:v>
      </x:c>
      <x:c r="F14" s="51" t="n">
        <x:v>8.661092166847116</x:v>
      </x:c>
      <x:c r="G14" s="51" t="n">
        <x:v>11.88106212284191</x:v>
      </x:c>
      <x:c r="H14" s="52" t="n">
        <x:v>4.281472392638037</x:v>
      </x:c>
      <x:c r="I14" s="121" t="n">
        <x:v>0.6804676083779835</x:v>
      </x:c>
      <x:c r="J14" s="1"/>
      <x:c r="K14" s="1"/>
    </x:row>
    <x:row r="15">
      <x:c r="A15" s="47" t="str">
        <x:v>2017-10</x:v>
      </x:c>
      <x:c r="B15" s="92" t="n">
        <x:v>4414</x:v>
      </x:c>
      <x:c r="C15" s="48" t="n">
        <x:v>0.9576347983688265</x:v>
      </x:c>
      <x:c r="D15" s="48" t="n">
        <x:v>0.0795197100135931</x:v>
      </x:c>
      <x:c r="E15" s="51" t="n">
        <x:v>3.0751912816333555</x:v>
      </x:c>
      <x:c r="F15" s="51" t="n">
        <x:v>8.441409055677223</x:v>
      </x:c>
      <x:c r="G15" s="51" t="n">
        <x:v>11.909508114962494</x:v>
      </x:c>
      <x:c r="H15" s="52" t="n">
        <x:v>4.225581926061159</x:v>
      </x:c>
      <x:c r="I15" s="121" t="n">
        <x:v>0.671273221567739</x:v>
      </x:c>
      <x:c r="J15" s="1"/>
      <x:c r="K15" s="1"/>
    </x:row>
    <x:row r="16">
      <x:c r="A16" s="47" t="str">
        <x:v>2017-11</x:v>
      </x:c>
      <x:c r="B16" s="92" t="n">
        <x:v>7195</x:v>
      </x:c>
      <x:c r="C16" s="48" t="n">
        <x:v>0.8746351633078526</x:v>
      </x:c>
      <x:c r="D16" s="48" t="n">
        <x:v>0.12967338429464906</x:v>
      </x:c>
      <x:c r="E16" s="51" t="n">
        <x:v>3.6340108446210317</x:v>
      </x:c>
      <x:c r="F16" s="51" t="n">
        <x:v>11.127997691619695</x:v>
      </x:c>
      <x:c r="G16" s="51" t="n">
        <x:v>15.212168558412477</x:v>
      </x:c>
      <x:c r="H16" s="52" t="n">
        <x:v>4.01035689293212</x:v>
      </x:c>
      <x:c r="I16" s="121" t="n">
        <x:v>0.6639332870048645</x:v>
      </x:c>
      <x:c r="J16" s="1"/>
      <x:c r="K16" s="1"/>
    </x:row>
    <x:row r="17">
      <x:c r="A17" s="47" t="str">
        <x:v>2017-12</x:v>
      </x:c>
      <x:c r="B17" s="92" t="n">
        <x:v>5454</x:v>
      </x:c>
      <x:c r="C17" s="48" t="n">
        <x:v>0.9251925192519252</x:v>
      </x:c>
      <x:c r="D17" s="48" t="n">
        <x:v>0.10982764943160983</x:v>
      </x:c>
      <x:c r="E17" s="51" t="n">
        <x:v>3.288191742623519</x:v>
      </x:c>
      <x:c r="F17" s="51" t="n">
        <x:v>11.690885754084666</x:v>
      </x:c>
      <x:c r="G17" s="51" t="n">
        <x:v>15.425404975875676</x:v>
      </x:c>
      <x:c r="H17" s="52" t="n">
        <x:v>4.1023694927804515</x:v>
      </x:c>
      <x:c r="I17" s="121" t="n">
        <x:v>0.6371470480381372</x:v>
      </x:c>
      <x:c r="J17" s="1"/>
      <x:c r="K17" s="1"/>
    </x:row>
    <x:row r="18">
      <x:c r="A18" s="47" t="str">
        <x:v>2018-01</x:v>
      </x:c>
      <x:c r="B18" s="92" t="n">
        <x:v>6967</x:v>
      </x:c>
      <x:c r="C18" s="48" t="n">
        <x:v>0.9421558777092005</x:v>
      </x:c>
      <x:c r="D18" s="48" t="n">
        <x:v>0.10262666858045069</x:v>
      </x:c>
      <x:c r="E18" s="51" t="n">
        <x:v>3.2073260204789262</x:v>
      </x:c>
      <x:c r="F18" s="51" t="n">
        <x:v>10.512537886943209</x:v>
      </x:c>
      <x:c r="G18" s="51" t="n">
        <x:v>14.131911162544057</x:v>
      </x:c>
      <x:c r="H18" s="52" t="n">
        <x:v>4.134601475480978</x:v>
      </x:c>
      <x:c r="I18" s="121" t="n">
        <x:v>0.6420266972872112</x:v>
      </x:c>
      <x:c r="J18" s="1"/>
      <x:c r="K18" s="1"/>
    </x:row>
    <x:row r="19">
      <x:c r="A19" s="47" t="str">
        <x:v>2018-02</x:v>
      </x:c>
      <x:c r="B19" s="92" t="n">
        <x:v>6505</x:v>
      </x:c>
      <x:c r="C19" s="48" t="n">
        <x:v>0.8578016910069177</x:v>
      </x:c>
      <x:c r="D19" s="48" t="n">
        <x:v>0.12282859338970023</x:v>
      </x:c>
      <x:c r="E19" s="51" t="n">
        <x:v>3.1750104296792556</x:v>
      </x:c>
      <x:c r="F19" s="51" t="n">
        <x:v>13.413212005722094</x:v>
      </x:c>
      <x:c r="G19" s="51" t="n">
        <x:v>16.984957253323653</x:v>
      </x:c>
      <x:c r="H19" s="52" t="n">
        <x:v>3.8930525446474653</x:v>
      </x:c>
      <x:c r="I19" s="121" t="n">
        <x:v>0.6751729438893159</x:v>
      </x:c>
      <x:c r="J19" s="1"/>
      <x:c r="K19" s="1"/>
    </x:row>
    <x:row r="20">
      <x:c r="A20" s="47" t="str">
        <x:v>2018-03</x:v>
      </x:c>
      <x:c r="B20" s="92" t="n">
        <x:v>6913</x:v>
      </x:c>
      <x:c r="C20" s="48" t="n">
        <x:v>0.8084767828728483</x:v>
      </x:c>
      <x:c r="D20" s="48" t="n">
        <x:v>0.08621437870678432</x:v>
      </x:c>
      <x:c r="E20" s="51" t="n">
        <x:v>2.993407554113946</x:v>
      </x:c>
      <x:c r="F20" s="51" t="n">
        <x:v>13.014101448023316</x:v>
      </x:c>
      <x:c r="G20" s="51" t="n">
        <x:v>16.361468894487572</x:v>
      </x:c>
      <x:c r="H20" s="52" t="n">
        <x:v>3.8305875492054233</x:v>
      </x:c>
      <x:c r="I20" s="121" t="n">
        <x:v>0.6311297555330536</x:v>
      </x:c>
      <x:c r="J20" s="1"/>
      <x:c r="K20" s="1"/>
    </x:row>
    <x:row r="21">
      <x:c r="A21" s="47" t="str">
        <x:v>2018-04</x:v>
      </x:c>
      <x:c r="B21" s="92" t="n">
        <x:v>6670</x:v>
      </x:c>
      <x:c r="C21" s="48" t="n">
        <x:v>0.9541229385307346</x:v>
      </x:c>
      <x:c r="D21" s="48" t="n">
        <x:v>0.06086956521739131</x:v>
      </x:c>
      <x:c r="E21" s="51" t="n">
        <x:v>2.3999256899978247</x:v>
      </x:c>
      <x:c r="F21" s="51" t="n">
        <x:v>8.709888283288912</x:v>
      </x:c>
      <x:c r="G21" s="51" t="n">
        <x:v>11.552490185462823</x:v>
      </x:c>
      <x:c r="H21" s="52" t="n">
        <x:v>4.233851494114096</x:v>
      </x:c>
      <x:c r="I21" s="121" t="n">
        <x:v>0.6092953523238381</x:v>
      </x:c>
      <x:c r="J21" s="1"/>
      <x:c r="K21" s="1"/>
    </x:row>
    <x:row r="22">
      <x:c r="A22" s="47" t="str">
        <x:v>2018-05</x:v>
      </x:c>
      <x:c r="B22" s="92" t="n">
        <x:v>6641</x:v>
      </x:c>
      <x:c r="C22" s="48" t="n">
        <x:v>0.93344375847011</x:v>
      </x:c>
      <x:c r="D22" s="48" t="n">
        <x:v>0.066405661797922</x:v>
      </x:c>
      <x:c r="E22" s="51" t="n">
        <x:v>2.348392161315308</x:v>
      </x:c>
      <x:c r="F22" s="51" t="n">
        <x:v>8.756612036200483</x:v>
      </x:c>
      <x:c r="G22" s="51" t="n">
        <x:v>11.453434622602575</x:v>
      </x:c>
      <x:c r="H22" s="52" t="n">
        <x:v>4.2592956469165655</x:v>
      </x:c>
      <x:c r="I22" s="121" t="n">
        <x:v>0.5946393615419364</x:v>
      </x:c>
      <x:c r="J22" s="1"/>
      <x:c r="K22" s="1"/>
    </x:row>
    <x:row r="23">
      <x:c r="A23" s="47" t="str">
        <x:v>2018-06</x:v>
      </x:c>
      <x:c r="B23" s="92" t="n">
        <x:v>5989</x:v>
      </x:c>
      <x:c r="C23" s="48" t="n">
        <x:v>0.9881449323760227</x:v>
      </x:c>
      <x:c r="D23" s="48" t="n">
        <x:v>0.06829186842544666</x:v>
      </x:c>
      <x:c r="E23" s="51" t="n">
        <x:v>2.2611355312438866</x:v>
      </x:c>
      <x:c r="F23" s="51" t="n">
        <x:v>6.696346498286983</x:v>
      </x:c>
      <x:c r="G23" s="51" t="n">
        <x:v>9.26696794818278</x:v>
      </x:c>
      <x:c r="H23" s="52" t="n">
        <x:v>4.324673147837747</x:v>
      </x:c>
      <x:c r="I23" s="121" t="n">
        <x:v>0.6132910335615295</x:v>
      </x:c>
      <x:c r="J23" s="1"/>
      <x:c r="K23" s="1"/>
    </x:row>
    <x:row r="24">
      <x:c r="A24" s="47" t="str">
        <x:v>2018-07</x:v>
      </x:c>
      <x:c r="B24" s="92" t="n">
        <x:v>6059</x:v>
      </x:c>
      <x:c r="C24" s="48" t="n">
        <x:v>0.9656709027892392</x:v>
      </x:c>
      <x:c r="D24" s="48" t="n">
        <x:v>0.09093909886119822</x:v>
      </x:c>
      <x:c r="E24" s="51" t="n">
        <x:v>2.6302649104523312</x:v>
      </x:c>
      <x:c r="F24" s="51" t="n">
        <x:v>6.152332062267335</x:v>
      </x:c>
      <x:c r="G24" s="51" t="n">
        <x:v>8.99158915723778</x:v>
      </x:c>
      <x:c r="H24" s="52" t="n">
        <x:v>4.33543673198273</x:v>
      </x:c>
      <x:c r="I24" s="121" t="n">
        <x:v>0.6225449744182209</x:v>
      </x:c>
      <x:c r="J24" s="1"/>
      <x:c r="K24" s="1"/>
    </x:row>
    <x:row r="25">
      <x:c r="A25" s="53" t="str">
        <x:v>2018-08</x:v>
      </x:c>
      <x:c r="B25" s="54" t="n">
        <x:v>6239</x:v>
      </x:c>
      <x:c r="C25" s="93" t="n">
        <x:v>0.9370091360794999</x:v>
      </x:c>
      <x:c r="D25" s="93" t="n">
        <x:v>0.0921622054816477</x:v>
      </x:c>
      <x:c r="E25" s="124" t="n">
        <x:v>2.214547157299077</x:v>
      </x:c>
      <x:c r="F25" s="124" t="n">
        <x:v>5.217998601612913</x:v>
      </x:c>
      <x:c r="G25" s="124" t="n">
        <x:v>7.747473045152059</x:v>
      </x:c>
      <x:c r="H25" s="126" t="n">
        <x:v>4.338292055323255</x:v>
      </x:c>
      <x:c r="I25" s="122" t="n">
        <x:v>0.5508895656355185</x:v>
      </x:c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21" t="str">
        <x:v>Delivery outcome</x:v>
      </x:c>
      <x:c r="B29" s="22" t="str">
        <x:v>Orders</x:v>
      </x:c>
      <x:c r="C29" s="22" t="str">
        <x:v>Late dispatch</x:v>
      </x:c>
      <x:c r="D29" s="22" t="str">
        <x:v>Approval to carrier days</x:v>
      </x:c>
      <x:c r="E29" s="22" t="str">
        <x:v>Carrier to delivery days</x:v>
      </x:c>
      <x:c r="F29" s="22" t="str">
        <x:v>Purchase to delivery days</x:v>
      </x:c>
      <x:c r="G29" s="23" t="str">
        <x:v>Review score</x:v>
      </x:c>
      <x:c r="H29" s="1"/>
      <x:c r="I29" s="1"/>
      <x:c r="J29" s="1"/>
      <x:c r="K29" s="1"/>
    </x:row>
    <x:row r="30">
      <x:c r="A30" s="43" t="str">
        <x:v>Late</x:v>
      </x:c>
      <x:c r="B30" s="91" t="n">
        <x:v>6521</x:v>
      </x:c>
      <x:c r="C30" s="44" t="n">
        <x:v>0.27791411042944786</x:v>
      </x:c>
      <x:c r="D30" s="123" t="n">
        <x:v>5.5783207810932085</x:v>
      </x:c>
      <x:c r="E30" s="123" t="n">
        <x:v>27.895517020279485</x:v>
      </x:c>
      <x:c r="F30" s="123" t="n">
        <x:v>33.961458008528005</x:v>
      </x:c>
      <x:c r="G30" s="127" t="n">
        <x:v>2.2726487674674205</x:v>
      </x:c>
      <x:c r="H30" s="1"/>
      <x:c r="I30" s="1"/>
      <x:c r="J30" s="1"/>
      <x:c r="K30" s="1"/>
    </x:row>
    <x:row r="31">
      <x:c r="A31" s="53" t="str">
        <x:v>On time</x:v>
      </x:c>
      <x:c r="B31" s="54" t="n">
        <x:v>88674</x:v>
      </x:c>
      <x:c r="C31" s="93" t="n">
        <x:v>0.07721541827367662</x:v>
      </x:c>
      <x:c r="D31" s="124" t="n">
        <x:v>2.6633707684092522</x:v>
      </x:c>
      <x:c r="E31" s="124" t="n">
        <x:v>8.00241012438442</x:v>
      </x:c>
      <x:c r="F31" s="124" t="n">
        <x:v>11.033430971326306</x:v>
      </x:c>
      <x:c r="G31" s="128" t="n">
        <x:v>4.3107940071509026</x:v>
      </x:c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63A5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4" hidden="0" customWidth="1"/>
  </x:cols>
  <x:sheetData>
    <x:row r="1" ht="27" customHeight="1">
      <x:c r="A1" s="2" t="str">
        <x:v>Merchant priorities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" customHeight="1">
      <x:c r="A2" s="3" t="str">
        <x:v>Statistically elevated late-delivery rate; minimum 30 eligible orders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21" t="str">
        <x:v>Seller ID</x:v>
      </x:c>
      <x:c r="B4" s="22" t="str">
        <x:v>State</x:v>
      </x:c>
      <x:c r="C4" s="22" t="str">
        <x:v>City</x:v>
      </x:c>
      <x:c r="D4" s="22" t="str">
        <x:v>Orders</x:v>
      </x:c>
      <x:c r="E4" s="22" t="str">
        <x:v>Late orders</x:v>
      </x:c>
      <x:c r="F4" s="22" t="str">
        <x:v>Late rate</x:v>
      </x:c>
      <x:c r="G4" s="22" t="str">
        <x:v>Late dispatch</x:v>
      </x:c>
      <x:c r="H4" s="22" t="str">
        <x:v>Carrier days</x:v>
      </x:c>
      <x:c r="I4" s="23" t="str">
        <x:v>First evidence check</x:v>
      </x:c>
      <x:c r="J4" s="1"/>
      <x:c r="K4" s="1"/>
    </x:row>
    <x:row r="5">
      <x:c r="A5" s="43" t="str">
        <x:v>4a3ca9315b744ce9f8e9374361493884</x:v>
      </x:c>
      <x:c r="B5" s="88" t="str">
        <x:v>SP</x:v>
      </x:c>
      <x:c r="C5" s="88" t="str">
        <x:v>ibitinga</x:v>
      </x:c>
      <x:c r="D5" s="91" t="n">
        <x:v>1673</x:v>
      </x:c>
      <x:c r="E5" s="91" t="n">
        <x:v>168</x:v>
      </x:c>
      <x:c r="F5" s="44" t="n">
        <x:v>0.100418410041841</x:v>
      </x:c>
      <x:c r="G5" s="44" t="n">
        <x:v>0.09025702331141662</x:v>
      </x:c>
      <x:c r="H5" s="123" t="n">
        <x:v>11.888020660379446</x:v>
      </x:c>
      <x:c r="I5" s="60" t="str">
        <x:v>Lane and downstream evidence</x:v>
      </x:c>
      <x:c r="J5" s="1"/>
      <x:c r="K5" s="1"/>
    </x:row>
    <x:row r="6">
      <x:c r="A6" s="47" t="str">
        <x:v>1f50f920176fa81dab994f9023523100</x:v>
      </x:c>
      <x:c r="B6" s="89" t="str">
        <x:v>SP</x:v>
      </x:c>
      <x:c r="C6" s="89" t="str">
        <x:v>sao jose do rio preto</x:v>
      </x:c>
      <x:c r="D6" s="92" t="n">
        <x:v>1364</x:v>
      </x:c>
      <x:c r="E6" s="92" t="n">
        <x:v>124</x:v>
      </x:c>
      <x:c r="F6" s="48" t="n">
        <x:v>0.09090909090909091</x:v>
      </x:c>
      <x:c r="G6" s="48" t="n">
        <x:v>0.1092375366568915</x:v>
      </x:c>
      <x:c r="H6" s="51" t="n">
        <x:v>11.905890974598131</x:v>
      </x:c>
      <x:c r="I6" s="61" t="str">
        <x:v>Handover and downstream evidence</x:v>
      </x:c>
      <x:c r="J6" s="1"/>
      <x:c r="K6" s="1"/>
    </x:row>
    <x:row r="7">
      <x:c r="A7" s="47" t="str">
        <x:v>4869f7a5dfa277a7dca6462dcf3b52b2</x:v>
      </x:c>
      <x:c r="B7" s="89" t="str">
        <x:v>SP</x:v>
      </x:c>
      <x:c r="C7" s="89" t="str">
        <x:v>guariba</x:v>
      </x:c>
      <x:c r="D7" s="92" t="n">
        <x:v>1111</x:v>
      </x:c>
      <x:c r="E7" s="92" t="n">
        <x:v>118</x:v>
      </x:c>
      <x:c r="F7" s="48" t="n">
        <x:v>0.10621062106210621</x:v>
      </x:c>
      <x:c r="G7" s="48" t="n">
        <x:v>0.0558055805580558</x:v>
      </x:c>
      <x:c r="H7" s="51" t="n">
        <x:v>12.36482263851385</x:v>
      </x:c>
      <x:c r="I7" s="61" t="str">
        <x:v>Lane and downstream evidence</x:v>
      </x:c>
      <x:c r="J7" s="1"/>
      <x:c r="K7" s="1"/>
    </x:row>
    <x:row r="8">
      <x:c r="A8" s="47" t="str">
        <x:v>ea8482cd71df3c1969d7b9473ff13abc</x:v>
      </x:c>
      <x:c r="B8" s="89" t="str">
        <x:v>SP</x:v>
      </x:c>
      <x:c r="C8" s="89" t="str">
        <x:v>sao paulo</x:v>
      </x:c>
      <x:c r="D8" s="92" t="n">
        <x:v>1116</x:v>
      </x:c>
      <x:c r="E8" s="92" t="n">
        <x:v>96</x:v>
      </x:c>
      <x:c r="F8" s="48" t="n">
        <x:v>0.08602150537634409</x:v>
      </x:c>
      <x:c r="G8" s="48" t="n">
        <x:v>0.07795698924731183</x:v>
      </x:c>
      <x:c r="H8" s="51" t="n">
        <x:v>9.978271999037569</x:v>
      </x:c>
      <x:c r="I8" s="61" t="str">
        <x:v>Lane and downstream evidence</x:v>
      </x:c>
      <x:c r="J8" s="1"/>
      <x:c r="K8" s="1"/>
    </x:row>
    <x:row r="9">
      <x:c r="A9" s="47" t="str">
        <x:v>7c67e1448b00f6e969d365cea6b010ab</x:v>
      </x:c>
      <x:c r="B9" s="89" t="str">
        <x:v>SP</x:v>
      </x:c>
      <x:c r="C9" s="89" t="str">
        <x:v>itaquaquecetuba</x:v>
      </x:c>
      <x:c r="D9" s="92" t="n">
        <x:v>963</x:v>
      </x:c>
      <x:c r="E9" s="92" t="n">
        <x:v>89</x:v>
      </x:c>
      <x:c r="F9" s="48" t="n">
        <x:v>0.09241952232606439</x:v>
      </x:c>
      <x:c r="G9" s="48" t="n">
        <x:v>0.29906542056074764</x:v>
      </x:c>
      <x:c r="H9" s="51" t="n">
        <x:v>10.515206157936234</x:v>
      </x:c>
      <x:c r="I9" s="61" t="str">
        <x:v>Handover and downstream evidence</x:v>
      </x:c>
      <x:c r="J9" s="1"/>
      <x:c r="K9" s="1"/>
    </x:row>
    <x:row r="10">
      <x:c r="A10" s="47" t="str">
        <x:v>8b321bb669392f5163d04c59e235e066</x:v>
      </x:c>
      <x:c r="B10" s="89" t="str">
        <x:v>SP</x:v>
      </x:c>
      <x:c r="C10" s="89" t="str">
        <x:v>sao paulo</x:v>
      </x:c>
      <x:c r="D10" s="92" t="n">
        <x:v>917</x:v>
      </x:c>
      <x:c r="E10" s="92" t="n">
        <x:v>80</x:v>
      </x:c>
      <x:c r="F10" s="48" t="n">
        <x:v>0.08724100327153762</x:v>
      </x:c>
      <x:c r="G10" s="48" t="n">
        <x:v>0.04798255179934569</x:v>
      </x:c>
      <x:c r="H10" s="51" t="n">
        <x:v>10.268894114261482</x:v>
      </x:c>
      <x:c r="I10" s="61" t="str">
        <x:v>Lane and downstream evidence</x:v>
      </x:c>
      <x:c r="J10" s="1"/>
      <x:c r="K10" s="1"/>
    </x:row>
    <x:row r="11">
      <x:c r="A11" s="47" t="str">
        <x:v>06a2c3af7b3aee5d69171b0e14f0ee87</x:v>
      </x:c>
      <x:c r="B11" s="89" t="str">
        <x:v>MA</x:v>
      </x:c>
      <x:c r="C11" s="89" t="str">
        <x:v>sao luis</x:v>
      </x:c>
      <x:c r="D11" s="92" t="n">
        <x:v>388</x:v>
      </x:c>
      <x:c r="E11" s="92" t="n">
        <x:v>74</x:v>
      </x:c>
      <x:c r="F11" s="48" t="n">
        <x:v>0.19072164948453607</x:v>
      </x:c>
      <x:c r="G11" s="48" t="n">
        <x:v>0.3118556701030928</x:v>
      </x:c>
      <x:c r="H11" s="51" t="n">
        <x:v>12.924593505393279</x:v>
      </x:c>
      <x:c r="I11" s="61" t="str">
        <x:v>Handover and downstream evidence</x:v>
      </x:c>
      <x:c r="J11" s="1"/>
      <x:c r="K11" s="1"/>
    </x:row>
    <x:row r="12">
      <x:c r="A12" s="47" t="str">
        <x:v>7d13fca15225358621be4086e1eb0964</x:v>
      </x:c>
      <x:c r="B12" s="89" t="str">
        <x:v>SP</x:v>
      </x:c>
      <x:c r="C12" s="89" t="str">
        <x:v>ribeirao preto</x:v>
      </x:c>
      <x:c r="D12" s="92" t="n">
        <x:v>548</x:v>
      </x:c>
      <x:c r="E12" s="92" t="n">
        <x:v>64</x:v>
      </x:c>
      <x:c r="F12" s="48" t="n">
        <x:v>0.11678832116788321</x:v>
      </x:c>
      <x:c r="G12" s="48" t="n">
        <x:v>0.15145985401459855</x:v>
      </x:c>
      <x:c r="H12" s="51" t="n">
        <x:v>11.981130056265208</x:v>
      </x:c>
      <x:c r="I12" s="61" t="str">
        <x:v>Handover and downstream evidence</x:v>
      </x:c>
      <x:c r="J12" s="1"/>
      <x:c r="K12" s="1"/>
    </x:row>
    <x:row r="13">
      <x:c r="A13" s="47" t="str">
        <x:v>620c87c171fb2a6dd6e8bb4dec959fc6</x:v>
      </x:c>
      <x:c r="B13" s="89" t="str">
        <x:v>RJ</x:v>
      </x:c>
      <x:c r="C13" s="89" t="str">
        <x:v>petropolis</x:v>
      </x:c>
      <x:c r="D13" s="92" t="n">
        <x:v>717</x:v>
      </x:c>
      <x:c r="E13" s="92" t="n">
        <x:v>63</x:v>
      </x:c>
      <x:c r="F13" s="48" t="n">
        <x:v>0.08786610878661087</x:v>
      </x:c>
      <x:c r="G13" s="48" t="n">
        <x:v>0.07531380753138076</x:v>
      </x:c>
      <x:c r="H13" s="51" t="n">
        <x:v>10.235387836406838</x:v>
      </x:c>
      <x:c r="I13" s="61" t="str">
        <x:v>Lane and downstream evidence</x:v>
      </x:c>
      <x:c r="J13" s="1"/>
      <x:c r="K13" s="1"/>
    </x:row>
    <x:row r="14">
      <x:c r="A14" s="47" t="str">
        <x:v>fa1c13f2614d7b5c4749cbc52fecda94</x:v>
      </x:c>
      <x:c r="B14" s="89" t="str">
        <x:v>SP</x:v>
      </x:c>
      <x:c r="C14" s="89" t="str">
        <x:v>sumare</x:v>
      </x:c>
      <x:c r="D14" s="92" t="n">
        <x:v>566</x:v>
      </x:c>
      <x:c r="E14" s="92" t="n">
        <x:v>53</x:v>
      </x:c>
      <x:c r="F14" s="48" t="n">
        <x:v>0.09363957597173145</x:v>
      </x:c>
      <x:c r="G14" s="48" t="n">
        <x:v>0.0812720848056537</x:v>
      </x:c>
      <x:c r="H14" s="51" t="n">
        <x:v>10.727901002813768</x:v>
      </x:c>
      <x:c r="I14" s="61" t="str">
        <x:v>Lane and downstream evidence</x:v>
      </x:c>
      <x:c r="J14" s="1"/>
      <x:c r="K14" s="1"/>
    </x:row>
    <x:row r="15">
      <x:c r="A15" s="47" t="str">
        <x:v>8160255418d5aaa7dbdc9f4c64ebda44</x:v>
      </x:c>
      <x:c r="B15" s="89" t="str">
        <x:v>SP</x:v>
      </x:c>
      <x:c r="C15" s="89" t="str">
        <x:v>ibitinga</x:v>
      </x:c>
      <x:c r="D15" s="92" t="n">
        <x:v>355</x:v>
      </x:c>
      <x:c r="E15" s="92" t="n">
        <x:v>51</x:v>
      </x:c>
      <x:c r="F15" s="48" t="n">
        <x:v>0.14366197183098592</x:v>
      </x:c>
      <x:c r="G15" s="48" t="n">
        <x:v>0.2535211267605634</x:v>
      </x:c>
      <x:c r="H15" s="51" t="n">
        <x:v>12.352999804381845</x:v>
      </x:c>
      <x:c r="I15" s="61" t="str">
        <x:v>Handover and downstream evidence</x:v>
      </x:c>
      <x:c r="J15" s="1"/>
      <x:c r="K15" s="1"/>
    </x:row>
    <x:row r="16">
      <x:c r="A16" s="47" t="str">
        <x:v>1835b56ce799e6a4dc4eddc053f04066</x:v>
      </x:c>
      <x:c r="B16" s="89" t="str">
        <x:v>SP</x:v>
      </x:c>
      <x:c r="C16" s="89" t="str">
        <x:v>ibitinga</x:v>
      </x:c>
      <x:c r="D16" s="92" t="n">
        <x:v>375</x:v>
      </x:c>
      <x:c r="E16" s="92" t="n">
        <x:v>43</x:v>
      </x:c>
      <x:c r="F16" s="48" t="n">
        <x:v>0.11466666666666667</x:v>
      </x:c>
      <x:c r="G16" s="48" t="n">
        <x:v>0.02666666666666667</x:v>
      </x:c>
      <x:c r="H16" s="51" t="n">
        <x:v>11.573026419753088</x:v>
      </x:c>
      <x:c r="I16" s="61" t="str">
        <x:v>Lane and downstream evidence</x:v>
      </x:c>
      <x:c r="J16" s="1"/>
      <x:c r="K16" s="1"/>
    </x:row>
    <x:row r="17">
      <x:c r="A17" s="47" t="str">
        <x:v>88460e8ebdecbfecb5f9601833981930</x:v>
      </x:c>
      <x:c r="B17" s="89" t="str">
        <x:v>PR</x:v>
      </x:c>
      <x:c r="C17" s="89" t="str">
        <x:v>maringa</x:v>
      </x:c>
      <x:c r="D17" s="92" t="n">
        <x:v>227</x:v>
      </x:c>
      <x:c r="E17" s="92" t="n">
        <x:v>42</x:v>
      </x:c>
      <x:c r="F17" s="48" t="n">
        <x:v>0.18502202643171806</x:v>
      </x:c>
      <x:c r="G17" s="48" t="n">
        <x:v>0.5110132158590308</x:v>
      </x:c>
      <x:c r="H17" s="51" t="n">
        <x:v>9.933295602871594</x:v>
      </x:c>
      <x:c r="I17" s="61" t="str">
        <x:v>Handover and downstream evidence</x:v>
      </x:c>
      <x:c r="J17" s="1"/>
      <x:c r="K17" s="1"/>
    </x:row>
    <x:row r="18">
      <x:c r="A18" s="47" t="str">
        <x:v>855668e0971d4dfd7bef1b6a4133b41b</x:v>
      </x:c>
      <x:c r="B18" s="89" t="str">
        <x:v>SP</x:v>
      </x:c>
      <x:c r="C18" s="89" t="str">
        <x:v>itatiba</x:v>
      </x:c>
      <x:c r="D18" s="92" t="n">
        <x:v>296</x:v>
      </x:c>
      <x:c r="E18" s="92" t="n">
        <x:v>38</x:v>
      </x:c>
      <x:c r="F18" s="48" t="n">
        <x:v>0.12837837837837837</x:v>
      </x:c>
      <x:c r="G18" s="48" t="n">
        <x:v>0.1858108108108108</x:v>
      </x:c>
      <x:c r="H18" s="51" t="n">
        <x:v>10.004416330392893</x:v>
      </x:c>
      <x:c r="I18" s="61" t="str">
        <x:v>Handover and downstream evidence</x:v>
      </x:c>
      <x:c r="J18" s="1"/>
      <x:c r="K18" s="1"/>
    </x:row>
    <x:row r="19">
      <x:c r="A19" s="47" t="str">
        <x:v>e5a3438891c0bfdb9394643f95273d8e</x:v>
      </x:c>
      <x:c r="B19" s="89" t="str">
        <x:v>SP</x:v>
      </x:c>
      <x:c r="C19" s="89" t="str">
        <x:v>limeira</x:v>
      </x:c>
      <x:c r="D19" s="92" t="n">
        <x:v>213</x:v>
      </x:c>
      <x:c r="E19" s="92" t="n">
        <x:v>34</x:v>
      </x:c>
      <x:c r="F19" s="48" t="n">
        <x:v>0.1596244131455399</x:v>
      </x:c>
      <x:c r="G19" s="48" t="n">
        <x:v>0.1784037558685446</x:v>
      </x:c>
      <x:c r="H19" s="51" t="n">
        <x:v>11.84160488393323</x:v>
      </x:c>
      <x:c r="I19" s="61" t="str">
        <x:v>Handover and downstream evidence</x:v>
      </x:c>
      <x:c r="J19" s="1"/>
      <x:c r="K19" s="1"/>
    </x:row>
    <x:row r="20">
      <x:c r="A20" s="47" t="str">
        <x:v>897060da8b9a21f655304d50fd935913</x:v>
      </x:c>
      <x:c r="B20" s="89" t="str">
        <x:v>SP</x:v>
      </x:c>
      <x:c r="C20" s="89" t="str">
        <x:v>ribeirao preto</x:v>
      </x:c>
      <x:c r="D20" s="92" t="n">
        <x:v>298</x:v>
      </x:c>
      <x:c r="E20" s="92" t="n">
        <x:v>32</x:v>
      </x:c>
      <x:c r="F20" s="48" t="n">
        <x:v>0.10738255033557047</x:v>
      </x:c>
      <x:c r="G20" s="48" t="n">
        <x:v>0.06711409395973154</x:v>
      </x:c>
      <x:c r="H20" s="51" t="n">
        <x:v>11.788465386527468</x:v>
      </x:c>
      <x:c r="I20" s="61" t="str">
        <x:v>Lane and downstream evidence</x:v>
      </x:c>
      <x:c r="J20" s="1"/>
      <x:c r="K20" s="1"/>
    </x:row>
    <x:row r="21">
      <x:c r="A21" s="47" t="str">
        <x:v>f7ba60f8c3f99e7ee4042fdef03b70c4</x:v>
      </x:c>
      <x:c r="B21" s="89" t="str">
        <x:v>SP</x:v>
      </x:c>
      <x:c r="C21" s="89" t="str">
        <x:v>sao bernardo do campo</x:v>
      </x:c>
      <x:c r="D21" s="92" t="n">
        <x:v>213</x:v>
      </x:c>
      <x:c r="E21" s="92" t="n">
        <x:v>30</x:v>
      </x:c>
      <x:c r="F21" s="48" t="n">
        <x:v>0.14084507042253522</x:v>
      </x:c>
      <x:c r="G21" s="48" t="n">
        <x:v>0.009389671361502348</x:v>
      </x:c>
      <x:c r="H21" s="51" t="n">
        <x:v>10.810229851330204</x:v>
      </x:c>
      <x:c r="I21" s="61" t="str">
        <x:v>Lane and downstream evidence</x:v>
      </x:c>
      <x:c r="J21" s="1"/>
      <x:c r="K21" s="1"/>
    </x:row>
    <x:row r="22">
      <x:c r="A22" s="47" t="str">
        <x:v>77530e9772f57a62c906e1c21538ab82</x:v>
      </x:c>
      <x:c r="B22" s="89" t="str">
        <x:v>PR</x:v>
      </x:c>
      <x:c r="C22" s="89" t="str">
        <x:v>curitiba</x:v>
      </x:c>
      <x:c r="D22" s="92" t="n">
        <x:v>297</x:v>
      </x:c>
      <x:c r="E22" s="92" t="n">
        <x:v>29</x:v>
      </x:c>
      <x:c r="F22" s="48" t="n">
        <x:v>0.09764309764309764</x:v>
      </x:c>
      <x:c r="G22" s="48" t="n">
        <x:v>0.016835016835016835</x:v>
      </x:c>
      <x:c r="H22" s="51" t="n">
        <x:v>12.783974038221723</x:v>
      </x:c>
      <x:c r="I22" s="61" t="str">
        <x:v>Lane and downstream evidence</x:v>
      </x:c>
      <x:c r="J22" s="1"/>
      <x:c r="K22" s="1"/>
    </x:row>
    <x:row r="23">
      <x:c r="A23" s="47" t="str">
        <x:v>7aa4334be125fcdd2ba64b3180029f14</x:v>
      </x:c>
      <x:c r="B23" s="89" t="str">
        <x:v>SP</x:v>
      </x:c>
      <x:c r="C23" s="89" t="str">
        <x:v>laranjal paulista</x:v>
      </x:c>
      <x:c r="D23" s="92" t="n">
        <x:v>211</x:v>
      </x:c>
      <x:c r="E23" s="92" t="n">
        <x:v>25</x:v>
      </x:c>
      <x:c r="F23" s="48" t="n">
        <x:v>0.11848341232227488</x:v>
      </x:c>
      <x:c r="G23" s="48" t="n">
        <x:v>0.36492890995260663</x:v>
      </x:c>
      <x:c r="H23" s="51" t="n">
        <x:v>10.713010246621028</x:v>
      </x:c>
      <x:c r="I23" s="61" t="str">
        <x:v>Handover and downstream evidence</x:v>
      </x:c>
      <x:c r="J23" s="1"/>
      <x:c r="K23" s="1"/>
    </x:row>
    <x:row r="24">
      <x:c r="A24" s="47" t="str">
        <x:v>c3867b4666c7d76867627c2f7fb22e21</x:v>
      </x:c>
      <x:c r="B24" s="89" t="str">
        <x:v>SP</x:v>
      </x:c>
      <x:c r="C24" s="89" t="str">
        <x:v>guara</x:v>
      </x:c>
      <x:c r="D24" s="92" t="n">
        <x:v>221</x:v>
      </x:c>
      <x:c r="E24" s="92" t="n">
        <x:v>25</x:v>
      </x:c>
      <x:c r="F24" s="48" t="n">
        <x:v>0.11312217194570136</x:v>
      </x:c>
      <x:c r="G24" s="48" t="n">
        <x:v>0.04524886877828054</x:v>
      </x:c>
      <x:c r="H24" s="51" t="n">
        <x:v>12.762840780542986</x:v>
      </x:c>
      <x:c r="I24" s="61" t="str">
        <x:v>Lane and downstream evidence</x:v>
      </x:c>
      <x:c r="J24" s="1"/>
      <x:c r="K24" s="1"/>
    </x:row>
    <x:row r="25">
      <x:c r="A25" s="47" t="str">
        <x:v>54965bbe3e4f07ae045b90b0b8541f52</x:v>
      </x:c>
      <x:c r="B25" s="89" t="str">
        <x:v>PR</x:v>
      </x:c>
      <x:c r="C25" s="89" t="str">
        <x:v>foz do iguacu</x:v>
      </x:c>
      <x:c r="D25" s="92" t="n">
        <x:v>72</x:v>
      </x:c>
      <x:c r="E25" s="92" t="n">
        <x:v>22</x:v>
      </x:c>
      <x:c r="F25" s="48" t="n">
        <x:v>0.3055555555555556</x:v>
      </x:c>
      <x:c r="G25" s="48" t="n">
        <x:v>0.5416666666666666</x:v>
      </x:c>
      <x:c r="H25" s="51" t="n">
        <x:v>10.895191615226338</x:v>
      </x:c>
      <x:c r="I25" s="61" t="str">
        <x:v>Handover and downstream evidence</x:v>
      </x:c>
      <x:c r="J25" s="1"/>
      <x:c r="K25" s="1"/>
    </x:row>
    <x:row r="26">
      <x:c r="A26" s="47" t="str">
        <x:v>a49928bcdf77c55c6d6e05e09a9b4ca5</x:v>
      </x:c>
      <x:c r="B26" s="89" t="str">
        <x:v>SP</x:v>
      </x:c>
      <x:c r="C26" s="89" t="str">
        <x:v>sao paulo</x:v>
      </x:c>
      <x:c r="D26" s="92" t="n">
        <x:v>93</x:v>
      </x:c>
      <x:c r="E26" s="92" t="n">
        <x:v>21</x:v>
      </x:c>
      <x:c r="F26" s="48" t="n">
        <x:v>0.22580645161290322</x:v>
      </x:c>
      <x:c r="G26" s="48" t="n">
        <x:v>0.5698924731182796</x:v>
      </x:c>
      <x:c r="H26" s="51" t="n">
        <x:v>9.651432696136997</x:v>
      </x:c>
      <x:c r="I26" s="61" t="str">
        <x:v>Handover and downstream evidence</x:v>
      </x:c>
      <x:c r="J26" s="1"/>
      <x:c r="K26" s="1"/>
    </x:row>
    <x:row r="27">
      <x:c r="A27" s="47" t="str">
        <x:v>2eb70248d66e0e3ef83659f71b244378</x:v>
      </x:c>
      <x:c r="B27" s="89" t="str">
        <x:v>SP</x:v>
      </x:c>
      <x:c r="C27" s="89" t="str">
        <x:v>campinas</x:v>
      </x:c>
      <x:c r="D27" s="92" t="n">
        <x:v>185</x:v>
      </x:c>
      <x:c r="E27" s="92" t="n">
        <x:v>21</x:v>
      </x:c>
      <x:c r="F27" s="48" t="n">
        <x:v>0.11351351351351352</x:v>
      </x:c>
      <x:c r="G27" s="48" t="n">
        <x:v>0.32432432432432434</x:v>
      </x:c>
      <x:c r="H27" s="51" t="n">
        <x:v>6.9009263638638645</x:v>
      </x:c>
      <x:c r="I27" s="61" t="str">
        <x:v>Seller cut-off and handover</x:v>
      </x:c>
      <x:c r="J27" s="1"/>
      <x:c r="K27" s="1"/>
    </x:row>
    <x:row r="28">
      <x:c r="A28" s="47" t="str">
        <x:v>cd68562d3f44870c08922d380acae552</x:v>
      </x:c>
      <x:c r="B28" s="89" t="str">
        <x:v>SP</x:v>
      </x:c>
      <x:c r="C28" s="89" t="str">
        <x:v>ribeirao preto</x:v>
      </x:c>
      <x:c r="D28" s="92" t="n">
        <x:v>122</x:v>
      </x:c>
      <x:c r="E28" s="92" t="n">
        <x:v>19</x:v>
      </x:c>
      <x:c r="F28" s="48" t="n">
        <x:v>0.1557377049180328</x:v>
      </x:c>
      <x:c r="G28" s="48" t="n">
        <x:v>0.14754098360655737</x:v>
      </x:c>
      <x:c r="H28" s="51" t="n">
        <x:v>12.5805293715847</x:v>
      </x:c>
      <x:c r="I28" s="61" t="str">
        <x:v>Handover and downstream evidence</x:v>
      </x:c>
      <x:c r="J28" s="1"/>
      <x:c r="K28" s="1"/>
    </x:row>
    <x:row r="29">
      <x:c r="A29" s="47" t="str">
        <x:v>2c9e548be18521d1c43cde1c582c6de8</x:v>
      </x:c>
      <x:c r="B29" s="89" t="str">
        <x:v>SP</x:v>
      </x:c>
      <x:c r="C29" s="89" t="str">
        <x:v>mogi das cruzes</x:v>
      </x:c>
      <x:c r="D29" s="92" t="n">
        <x:v>123</x:v>
      </x:c>
      <x:c r="E29" s="92" t="n">
        <x:v>19</x:v>
      </x:c>
      <x:c r="F29" s="48" t="n">
        <x:v>0.15447154471544716</x:v>
      </x:c>
      <x:c r="G29" s="48" t="n">
        <x:v>0.024390243902439025</x:v>
      </x:c>
      <x:c r="H29" s="51" t="n">
        <x:v>11.717907068654021</x:v>
      </x:c>
      <x:c r="I29" s="61" t="str">
        <x:v>Lane and downstream evidence</x:v>
      </x:c>
      <x:c r="J29" s="1"/>
      <x:c r="K29" s="1"/>
    </x:row>
    <x:row r="30">
      <x:c r="A30" s="47" t="str">
        <x:v>7ad32824caee82087b3e2e5f33b1bf32</x:v>
      </x:c>
      <x:c r="B30" s="89" t="str">
        <x:v>SP</x:v>
      </x:c>
      <x:c r="C30" s="89" t="str">
        <x:v>ibitinga</x:v>
      </x:c>
      <x:c r="D30" s="92" t="n">
        <x:v>140</x:v>
      </x:c>
      <x:c r="E30" s="92" t="n">
        <x:v>19</x:v>
      </x:c>
      <x:c r="F30" s="48" t="n">
        <x:v>0.1357142857142857</x:v>
      </x:c>
      <x:c r="G30" s="48" t="n">
        <x:v>0.03571428571428571</x:v>
      </x:c>
      <x:c r="H30" s="51" t="n">
        <x:v>10.534074156746032</x:v>
      </x:c>
      <x:c r="I30" s="61" t="str">
        <x:v>Lane and downstream evidence</x:v>
      </x:c>
      <x:c r="J30" s="1"/>
      <x:c r="K30" s="1"/>
    </x:row>
    <x:row r="31">
      <x:c r="A31" s="47" t="str">
        <x:v>b499c00f28f4b7069ff6550af8c1348a</x:v>
      </x:c>
      <x:c r="B31" s="89" t="str">
        <x:v>SP</x:v>
      </x:c>
      <x:c r="C31" s="89" t="str">
        <x:v>limeira</x:v>
      </x:c>
      <x:c r="D31" s="92" t="n">
        <x:v>141</x:v>
      </x:c>
      <x:c r="E31" s="92" t="n">
        <x:v>19</x:v>
      </x:c>
      <x:c r="F31" s="48" t="n">
        <x:v>0.1347517730496454</x:v>
      </x:c>
      <x:c r="G31" s="48" t="n">
        <x:v>0.19148936170212766</x:v>
      </x:c>
      <x:c r="H31" s="51" t="n">
        <x:v>8.106531389545573</x:v>
      </x:c>
      <x:c r="I31" s="61" t="str">
        <x:v>Seller cut-off and handover</x:v>
      </x:c>
      <x:c r="J31" s="1"/>
      <x:c r="K31" s="1"/>
    </x:row>
    <x:row r="32">
      <x:c r="A32" s="47" t="str">
        <x:v>8f2ce03f928b567e3d56181ae20ae952</x:v>
      </x:c>
      <x:c r="B32" s="89" t="str">
        <x:v>SP</x:v>
      </x:c>
      <x:c r="C32" s="89" t="str">
        <x:v>pirituba</x:v>
      </x:c>
      <x:c r="D32" s="92" t="n">
        <x:v>151</x:v>
      </x:c>
      <x:c r="E32" s="92" t="n">
        <x:v>19</x:v>
      </x:c>
      <x:c r="F32" s="48" t="n">
        <x:v>0.12582781456953643</x:v>
      </x:c>
      <x:c r="G32" s="48" t="n">
        <x:v>0.052980132450331126</x:v>
      </x:c>
      <x:c r="H32" s="51" t="n">
        <x:v>10.793648286117243</x:v>
      </x:c>
      <x:c r="I32" s="61" t="str">
        <x:v>Lane and downstream evidence</x:v>
      </x:c>
      <x:c r="J32" s="1"/>
      <x:c r="K32" s="1"/>
    </x:row>
    <x:row r="33">
      <x:c r="A33" s="47" t="str">
        <x:v>1ca7077d890b907f89be8c954a02686a</x:v>
      </x:c>
      <x:c r="B33" s="89" t="str">
        <x:v>SP</x:v>
      </x:c>
      <x:c r="C33" s="89" t="str">
        <x:v>santana de parnaiba</x:v>
      </x:c>
      <x:c r="D33" s="92" t="n">
        <x:v>106</x:v>
      </x:c>
      <x:c r="E33" s="92" t="n">
        <x:v>18</x:v>
      </x:c>
      <x:c r="F33" s="48" t="n">
        <x:v>0.16981132075471697</x:v>
      </x:c>
      <x:c r="G33" s="48" t="n">
        <x:v>0.5188679245283019</x:v>
      </x:c>
      <x:c r="H33" s="51" t="n">
        <x:v>9.86651194531796</x:v>
      </x:c>
      <x:c r="I33" s="61" t="str">
        <x:v>Handover and downstream evidence</x:v>
      </x:c>
      <x:c r="J33" s="1"/>
      <x:c r="K33" s="1"/>
    </x:row>
    <x:row r="34">
      <x:c r="A34" s="47" t="str">
        <x:v>7e1fb0a3ebfb01ffb3a7dae98bf3238d</x:v>
      </x:c>
      <x:c r="B34" s="89" t="str">
        <x:v>SP</x:v>
      </x:c>
      <x:c r="C34" s="89" t="str">
        <x:v>franca</x:v>
      </x:c>
      <x:c r="D34" s="92" t="n">
        <x:v>154</x:v>
      </x:c>
      <x:c r="E34" s="92" t="n">
        <x:v>18</x:v>
      </x:c>
      <x:c r="F34" s="48" t="n">
        <x:v>0.11688311688311688</x:v>
      </x:c>
      <x:c r="G34" s="48" t="n">
        <x:v>0.012987012987012988</x:v>
      </x:c>
      <x:c r="H34" s="51" t="n">
        <x:v>13.976464721620971</x:v>
      </x:c>
      <x:c r="I34" s="61" t="str">
        <x:v>Lane and downstream evidence</x:v>
      </x:c>
      <x:c r="J34" s="1"/>
      <x:c r="K34" s="1"/>
    </x:row>
    <x:row r="35">
      <x:c r="A35" s="47" t="str">
        <x:v>b33e7c55446eabf8fe1a42d037ac7d6d</x:v>
      </x:c>
      <x:c r="B35" s="89" t="str">
        <x:v>SP</x:v>
      </x:c>
      <x:c r="C35" s="89" t="str">
        <x:v>pradopolis</x:v>
      </x:c>
      <x:c r="D35" s="92" t="n">
        <x:v>146</x:v>
      </x:c>
      <x:c r="E35" s="92" t="n">
        <x:v>17</x:v>
      </x:c>
      <x:c r="F35" s="48" t="n">
        <x:v>0.11643835616438356</x:v>
      </x:c>
      <x:c r="G35" s="48" t="n">
        <x:v>0.00684931506849315</x:v>
      </x:c>
      <x:c r="H35" s="51" t="n">
        <x:v>13.881214960679857</x:v>
      </x:c>
      <x:c r="I35" s="61" t="str">
        <x:v>Lane and downstream evidence</x:v>
      </x:c>
      <x:c r="J35" s="1"/>
      <x:c r="K35" s="1"/>
    </x:row>
    <x:row r="36">
      <x:c r="A36" s="47" t="str">
        <x:v>0dd184061fb0eaa7ca37932c68ab91c5</x:v>
      </x:c>
      <x:c r="B36" s="89" t="str">
        <x:v>SP</x:v>
      </x:c>
      <x:c r="C36" s="89" t="str">
        <x:v>guarulhos</x:v>
      </x:c>
      <x:c r="D36" s="92" t="n">
        <x:v>156</x:v>
      </x:c>
      <x:c r="E36" s="92" t="n">
        <x:v>17</x:v>
      </x:c>
      <x:c r="F36" s="48" t="n">
        <x:v>0.10897435897435898</x:v>
      </x:c>
      <x:c r="G36" s="48" t="n">
        <x:v>0.09615384615384616</x:v>
      </x:c>
      <x:c r="H36" s="51" t="n">
        <x:v>8.964155982905982</x:v>
      </x:c>
      <x:c r="I36" s="61" t="str">
        <x:v>Seller cut-off and handover</x:v>
      </x:c>
      <x:c r="J36" s="1"/>
      <x:c r="K36" s="1"/>
    </x:row>
    <x:row r="37">
      <x:c r="A37" s="47" t="str">
        <x:v>a416b6a846a11724393025641d4edd5e</x:v>
      </x:c>
      <x:c r="B37" s="89" t="str">
        <x:v>SP</x:v>
      </x:c>
      <x:c r="C37" s="89" t="str">
        <x:v>sao paulo</x:v>
      </x:c>
      <x:c r="D37" s="92" t="n">
        <x:v>157</x:v>
      </x:c>
      <x:c r="E37" s="92" t="n">
        <x:v>17</x:v>
      </x:c>
      <x:c r="F37" s="48" t="n">
        <x:v>0.10828025477707007</x:v>
      </x:c>
      <x:c r="G37" s="48" t="n">
        <x:v>0.12101910828025478</x:v>
      </x:c>
      <x:c r="H37" s="51" t="n">
        <x:v>9.220809595423448</x:v>
      </x:c>
      <x:c r="I37" s="61" t="str">
        <x:v>Seller cut-off and handover</x:v>
      </x:c>
      <x:c r="J37" s="1"/>
      <x:c r="K37" s="1"/>
    </x:row>
    <x:row r="38">
      <x:c r="A38" s="47" t="str">
        <x:v>712e6ed8aa4aa1fa65dab41fed5737e4</x:v>
      </x:c>
      <x:c r="B38" s="89" t="str">
        <x:v>SC</x:v>
      </x:c>
      <x:c r="C38" s="89" t="str">
        <x:v>videira</x:v>
      </x:c>
      <x:c r="D38" s="92" t="n">
        <x:v>77</x:v>
      </x:c>
      <x:c r="E38" s="92" t="n">
        <x:v>16</x:v>
      </x:c>
      <x:c r="F38" s="48" t="n">
        <x:v>0.2077922077922078</x:v>
      </x:c>
      <x:c r="G38" s="48" t="n">
        <x:v>0.19480519480519481</x:v>
      </x:c>
      <x:c r="H38" s="51" t="n">
        <x:v>16.643938642376142</x:v>
      </x:c>
      <x:c r="I38" s="61" t="str">
        <x:v>Handover and downstream evidence</x:v>
      </x:c>
      <x:c r="J38" s="1"/>
      <x:c r="K38" s="1"/>
    </x:row>
    <x:row r="39">
      <x:c r="A39" s="47" t="str">
        <x:v>431af27f296bc6519d890aa5a05fdb11</x:v>
      </x:c>
      <x:c r="B39" s="89" t="str">
        <x:v>SP</x:v>
      </x:c>
      <x:c r="C39" s="89" t="str">
        <x:v>ribeirao preto</x:v>
      </x:c>
      <x:c r="D39" s="92" t="n">
        <x:v>114</x:v>
      </x:c>
      <x:c r="E39" s="92" t="n">
        <x:v>16</x:v>
      </x:c>
      <x:c r="F39" s="48" t="n">
        <x:v>0.14035087719298245</x:v>
      </x:c>
      <x:c r="G39" s="48" t="n">
        <x:v>0.2631578947368421</x:v>
      </x:c>
      <x:c r="H39" s="51" t="n">
        <x:v>12.567431063190384</x:v>
      </x:c>
      <x:c r="I39" s="61" t="str">
        <x:v>Handover and downstream evidence</x:v>
      </x:c>
      <x:c r="J39" s="1"/>
      <x:c r="K39" s="1"/>
    </x:row>
    <x:row r="40">
      <x:c r="A40" s="47" t="str">
        <x:v>2e90cb1677d35cfe24eef47d441b7c87</x:v>
      </x:c>
      <x:c r="B40" s="89" t="str">
        <x:v>SP</x:v>
      </x:c>
      <x:c r="C40" s="89" t="str">
        <x:v>sao paulo</x:v>
      </x:c>
      <x:c r="D40" s="92" t="n">
        <x:v>126</x:v>
      </x:c>
      <x:c r="E40" s="92" t="n">
        <x:v>16</x:v>
      </x:c>
      <x:c r="F40" s="48" t="n">
        <x:v>0.12698412698412698</x:v>
      </x:c>
      <x:c r="G40" s="48" t="n">
        <x:v>0.05555555555555555</x:v>
      </x:c>
      <x:c r="H40" s="51" t="n">
        <x:v>10.221852862286891</x:v>
      </x:c>
      <x:c r="I40" s="61" t="str">
        <x:v>Lane and downstream evidence</x:v>
      </x:c>
      <x:c r="J40" s="1"/>
      <x:c r="K40" s="1"/>
    </x:row>
    <x:row r="41">
      <x:c r="A41" s="47" t="str">
        <x:v>beadbee30901a7f61d031b6b686095ad</x:v>
      </x:c>
      <x:c r="B41" s="89" t="str">
        <x:v>SP</x:v>
      </x:c>
      <x:c r="C41" s="89" t="str">
        <x:v>guarulhos</x:v>
      </x:c>
      <x:c r="D41" s="92" t="n">
        <x:v>63</x:v>
      </x:c>
      <x:c r="E41" s="92" t="n">
        <x:v>15</x:v>
      </x:c>
      <x:c r="F41" s="48" t="n">
        <x:v>0.23809523809523808</x:v>
      </x:c>
      <x:c r="G41" s="48" t="n">
        <x:v>0.2857142857142857</x:v>
      </x:c>
      <x:c r="H41" s="51" t="n">
        <x:v>6.543160089653146</x:v>
      </x:c>
      <x:c r="I41" s="61" t="str">
        <x:v>Seller cut-off and handover</x:v>
      </x:c>
      <x:c r="J41" s="1"/>
      <x:c r="K41" s="1"/>
    </x:row>
    <x:row r="42">
      <x:c r="A42" s="47" t="str">
        <x:v>dd7ddc04e1b6c2c614352b383efe2d36</x:v>
      </x:c>
      <x:c r="B42" s="89" t="str">
        <x:v>SP</x:v>
      </x:c>
      <x:c r="C42" s="89" t="str">
        <x:v>sao paulo</x:v>
      </x:c>
      <x:c r="D42" s="92" t="n">
        <x:v>114</x:v>
      </x:c>
      <x:c r="E42" s="92" t="n">
        <x:v>15</x:v>
      </x:c>
      <x:c r="F42" s="48" t="n">
        <x:v>0.13157894736842105</x:v>
      </x:c>
      <x:c r="G42" s="48" t="n">
        <x:v>0.37719298245614036</x:v>
      </x:c>
      <x:c r="H42" s="51" t="n">
        <x:v>8.330147214100064</x:v>
      </x:c>
      <x:c r="I42" s="61" t="str">
        <x:v>Seller cut-off and handover</x:v>
      </x:c>
      <x:c r="J42" s="1"/>
      <x:c r="K42" s="1"/>
    </x:row>
    <x:row r="43">
      <x:c r="A43" s="47" t="str">
        <x:v>ede0c03645598cdfc63ca8237acbe73d</x:v>
      </x:c>
      <x:c r="B43" s="89" t="str">
        <x:v>SP</x:v>
      </x:c>
      <x:c r="C43" s="89" t="str">
        <x:v>ribeirao preto</x:v>
      </x:c>
      <x:c r="D43" s="92" t="n">
        <x:v>43</x:v>
      </x:c>
      <x:c r="E43" s="92" t="n">
        <x:v>14</x:v>
      </x:c>
      <x:c r="F43" s="48" t="n">
        <x:v>0.32558139534883723</x:v>
      </x:c>
      <x:c r="G43" s="48" t="n">
        <x:v>0.18604651162790697</x:v>
      </x:c>
      <x:c r="H43" s="51" t="n">
        <x:v>14.87057035960379</x:v>
      </x:c>
      <x:c r="I43" s="61" t="str">
        <x:v>Handover and downstream evidence</x:v>
      </x:c>
      <x:c r="J43" s="1"/>
      <x:c r="K43" s="1"/>
    </x:row>
    <x:row r="44">
      <x:c r="A44" s="47" t="str">
        <x:v>d20b021d3efdf267a402c402a48ea64b</x:v>
      </x:c>
      <x:c r="B44" s="89" t="str">
        <x:v>SP</x:v>
      </x:c>
      <x:c r="C44" s="89" t="str">
        <x:v>ibitinga</x:v>
      </x:c>
      <x:c r="D44" s="92" t="n">
        <x:v>73</x:v>
      </x:c>
      <x:c r="E44" s="92" t="n">
        <x:v>14</x:v>
      </x:c>
      <x:c r="F44" s="48" t="n">
        <x:v>0.1917808219178082</x:v>
      </x:c>
      <x:c r="G44" s="48" t="n">
        <x:v>0.2054794520547945</x:v>
      </x:c>
      <x:c r="H44" s="51" t="n">
        <x:v>14.0214066463724</x:v>
      </x:c>
      <x:c r="I44" s="61" t="str">
        <x:v>Handover and downstream evidence</x:v>
      </x:c>
      <x:c r="J44" s="1"/>
      <x:c r="K44" s="1"/>
    </x:row>
    <x:row r="45">
      <x:c r="A45" s="47" t="str">
        <x:v>c31eff8334d6b3047ed34bebd4d62c36</x:v>
      </x:c>
      <x:c r="B45" s="89" t="str">
        <x:v>SP</x:v>
      </x:c>
      <x:c r="C45" s="89" t="str">
        <x:v>salto</x:v>
      </x:c>
      <x:c r="D45" s="92" t="n">
        <x:v>116</x:v>
      </x:c>
      <x:c r="E45" s="92" t="n">
        <x:v>14</x:v>
      </x:c>
      <x:c r="F45" s="48" t="n">
        <x:v>0.1206896551724138</x:v>
      </x:c>
      <x:c r="G45" s="48" t="n">
        <x:v>0.27586206896551724</x:v>
      </x:c>
      <x:c r="H45" s="51" t="n">
        <x:v>7.285143877713921</x:v>
      </x:c>
      <x:c r="I45" s="61" t="str">
        <x:v>Seller cut-off and handover</x:v>
      </x:c>
      <x:c r="J45" s="1"/>
      <x:c r="K45" s="1"/>
    </x:row>
    <x:row r="46">
      <x:c r="A46" s="47" t="str">
        <x:v>59b22a78efb79a4797979612b885db36</x:v>
      </x:c>
      <x:c r="B46" s="89" t="str">
        <x:v>MG</x:v>
      </x:c>
      <x:c r="C46" s="89" t="str">
        <x:v>uberlandia</x:v>
      </x:c>
      <x:c r="D46" s="92" t="n">
        <x:v>123</x:v>
      </x:c>
      <x:c r="E46" s="92" t="n">
        <x:v>14</x:v>
      </x:c>
      <x:c r="F46" s="48" t="n">
        <x:v>0.11382113821138211</x:v>
      </x:c>
      <x:c r="G46" s="48" t="n">
        <x:v>0.04878048780487805</x:v>
      </x:c>
      <x:c r="H46" s="51" t="n">
        <x:v>10.570967611412225</x:v>
      </x:c>
      <x:c r="I46" s="61" t="str">
        <x:v>Lane and downstream evidence</x:v>
      </x:c>
      <x:c r="J46" s="1"/>
      <x:c r="K46" s="1"/>
    </x:row>
    <x:row r="47">
      <x:c r="A47" s="47" t="str">
        <x:v>2a1348e9addc1af5aaa619b1a3679d6b</x:v>
      </x:c>
      <x:c r="B47" s="89" t="str">
        <x:v>MG</x:v>
      </x:c>
      <x:c r="C47" s="89" t="str">
        <x:v>belo horizonte</x:v>
      </x:c>
      <x:c r="D47" s="92" t="n">
        <x:v>45</x:v>
      </x:c>
      <x:c r="E47" s="92" t="n">
        <x:v>13</x:v>
      </x:c>
      <x:c r="F47" s="48" t="n">
        <x:v>0.28888888888888886</x:v>
      </x:c>
      <x:c r="G47" s="48" t="n">
        <x:v>0.4444444444444444</x:v>
      </x:c>
      <x:c r="H47" s="51" t="n">
        <x:v>23.411318158436213</x:v>
      </x:c>
      <x:c r="I47" s="61" t="str">
        <x:v>Handover and downstream evidence</x:v>
      </x:c>
      <x:c r="J47" s="1"/>
      <x:c r="K47" s="1"/>
    </x:row>
    <x:row r="48">
      <x:c r="A48" s="47" t="str">
        <x:v>6973a06f484aacf400ece213dbf3d946</x:v>
      </x:c>
      <x:c r="B48" s="89" t="str">
        <x:v>SP</x:v>
      </x:c>
      <x:c r="C48" s="89" t="str">
        <x:v>sao jose dos campos</x:v>
      </x:c>
      <x:c r="D48" s="92" t="n">
        <x:v>77</x:v>
      </x:c>
      <x:c r="E48" s="92" t="n">
        <x:v>13</x:v>
      </x:c>
      <x:c r="F48" s="48" t="n">
        <x:v>0.16883116883116883</x:v>
      </x:c>
      <x:c r="G48" s="48" t="n">
        <x:v>0.2987012987012987</x:v>
      </x:c>
      <x:c r="H48" s="51" t="n">
        <x:v>8.851545965608466</x:v>
      </x:c>
      <x:c r="I48" s="61" t="str">
        <x:v>Seller cut-off and handover</x:v>
      </x:c>
      <x:c r="J48" s="1"/>
      <x:c r="K48" s="1"/>
    </x:row>
    <x:row r="49">
      <x:c r="A49" s="47" t="str">
        <x:v>ad781527c93d00d89a11eecd9dcad7c1</x:v>
      </x:c>
      <x:c r="B49" s="89" t="str">
        <x:v>SP</x:v>
      </x:c>
      <x:c r="C49" s="89" t="str">
        <x:v>sao jose do rio preto</x:v>
      </x:c>
      <x:c r="D49" s="92" t="n">
        <x:v>33</x:v>
      </x:c>
      <x:c r="E49" s="92" t="n">
        <x:v>12</x:v>
      </x:c>
      <x:c r="F49" s="48" t="n">
        <x:v>0.36363636363636365</x:v>
      </x:c>
      <x:c r="G49" s="48" t="n">
        <x:v>0.5454545454545454</x:v>
      </x:c>
      <x:c r="H49" s="51" t="n">
        <x:v>14.896114969135803</x:v>
      </x:c>
      <x:c r="I49" s="61" t="str">
        <x:v>Handover and downstream evidence</x:v>
      </x:c>
      <x:c r="J49" s="1"/>
      <x:c r="K49" s="1"/>
    </x:row>
    <x:row r="50">
      <x:c r="A50" s="47" t="str">
        <x:v>cac4c8e7b1ca6252d8f20b2fc1a2e4af</x:v>
      </x:c>
      <x:c r="B50" s="89" t="str">
        <x:v>SP</x:v>
      </x:c>
      <x:c r="C50" s="89" t="str">
        <x:v>indaiatuba</x:v>
      </x:c>
      <x:c r="D50" s="92" t="n">
        <x:v>69</x:v>
      </x:c>
      <x:c r="E50" s="92" t="n">
        <x:v>12</x:v>
      </x:c>
      <x:c r="F50" s="48" t="n">
        <x:v>0.17391304347826086</x:v>
      </x:c>
      <x:c r="G50" s="48" t="n">
        <x:v>0.30434782608695654</x:v>
      </x:c>
      <x:c r="H50" s="51" t="n">
        <x:v>12.512373523886204</x:v>
      </x:c>
      <x:c r="I50" s="61" t="str">
        <x:v>Handover and downstream evidence</x:v>
      </x:c>
      <x:c r="J50" s="1"/>
      <x:c r="K50" s="1"/>
    </x:row>
    <x:row r="51">
      <x:c r="A51" s="47" t="str">
        <x:v>891071be6ba827b591264c90c2ae8a63</x:v>
      </x:c>
      <x:c r="B51" s="89" t="str">
        <x:v>SP</x:v>
      </x:c>
      <x:c r="C51" s="89" t="str">
        <x:v>sao paulo</x:v>
      </x:c>
      <x:c r="D51" s="92" t="n">
        <x:v>82</x:v>
      </x:c>
      <x:c r="E51" s="92" t="n">
        <x:v>12</x:v>
      </x:c>
      <x:c r="F51" s="48" t="n">
        <x:v>0.14634146341463414</x:v>
      </x:c>
      <x:c r="G51" s="48" t="n">
        <x:v>0.18292682926829268</x:v>
      </x:c>
      <x:c r="H51" s="51" t="n">
        <x:v>10.064427506775067</x:v>
      </x:c>
      <x:c r="I51" s="61" t="str">
        <x:v>Handover and downstream evidence</x:v>
      </x:c>
      <x:c r="J51" s="1"/>
      <x:c r="K51" s="1"/>
    </x:row>
    <x:row r="52">
      <x:c r="A52" s="47" t="str">
        <x:v>b561927807645834b59ef0d16ba55a24</x:v>
      </x:c>
      <x:c r="B52" s="89" t="str">
        <x:v>SP</x:v>
      </x:c>
      <x:c r="C52" s="89" t="str">
        <x:v>sao paulo</x:v>
      </x:c>
      <x:c r="D52" s="92" t="n">
        <x:v>82</x:v>
      </x:c>
      <x:c r="E52" s="92" t="n">
        <x:v>12</x:v>
      </x:c>
      <x:c r="F52" s="48" t="n">
        <x:v>0.14634146341463414</x:v>
      </x:c>
      <x:c r="G52" s="48" t="n">
        <x:v>0.0975609756097561</x:v>
      </x:c>
      <x:c r="H52" s="51" t="n">
        <x:v>8.729893151535682</x:v>
      </x:c>
      <x:c r="I52" s="61" t="str">
        <x:v>Seller cut-off and handover</x:v>
      </x:c>
      <x:c r="J52" s="1"/>
      <x:c r="K52" s="1"/>
    </x:row>
    <x:row r="53">
      <x:c r="A53" s="47" t="str">
        <x:v>900ba814c251a692506d7834c1218441</x:v>
      </x:c>
      <x:c r="B53" s="89" t="str">
        <x:v>SP</x:v>
      </x:c>
      <x:c r="C53" s="89" t="str">
        <x:v>salto</x:v>
      </x:c>
      <x:c r="D53" s="92" t="n">
        <x:v>84</x:v>
      </x:c>
      <x:c r="E53" s="92" t="n">
        <x:v>12</x:v>
      </x:c>
      <x:c r="F53" s="48" t="n">
        <x:v>0.14285714285714285</x:v>
      </x:c>
      <x:c r="G53" s="48" t="n">
        <x:v>0.17857142857142858</x:v>
      </x:c>
      <x:c r="H53" s="51" t="n">
        <x:v>8.461913442460318</x:v>
      </x:c>
      <x:c r="I53" s="61" t="str">
        <x:v>Seller cut-off and handover</x:v>
      </x:c>
      <x:c r="J53" s="1"/>
      <x:c r="K53" s="1"/>
    </x:row>
    <x:row r="54">
      <x:c r="A54" s="47" t="str">
        <x:v>adbc26658d6c7b4b6219f9d934598091</x:v>
      </x:c>
      <x:c r="B54" s="89" t="str">
        <x:v>PR</x:v>
      </x:c>
      <x:c r="C54" s="89" t="str">
        <x:v>curitiba</x:v>
      </x:c>
      <x:c r="D54" s="92" t="n">
        <x:v>86</x:v>
      </x:c>
      <x:c r="E54" s="92" t="n">
        <x:v>12</x:v>
      </x:c>
      <x:c r="F54" s="48" t="n">
        <x:v>0.13953488372093023</x:v>
      </x:c>
      <x:c r="G54" s="48" t="n">
        <x:v>0.2441860465116279</x:v>
      </x:c>
      <x:c r="H54" s="51" t="n">
        <x:v>13.87849779285099</x:v>
      </x:c>
      <x:c r="I54" s="61" t="str">
        <x:v>Handover and downstream evidence</x:v>
      </x:c>
      <x:c r="J54" s="1"/>
      <x:c r="K54" s="1"/>
    </x:row>
    <x:row r="55">
      <x:c r="A55" s="47" t="str">
        <x:v>440dd6ab244315c632130ecfb63827b1</x:v>
      </x:c>
      <x:c r="B55" s="89" t="str">
        <x:v>SP</x:v>
      </x:c>
      <x:c r="C55" s="89" t="str">
        <x:v>votuporanga</x:v>
      </x:c>
      <x:c r="D55" s="92" t="n">
        <x:v>90</x:v>
      </x:c>
      <x:c r="E55" s="92" t="n">
        <x:v>12</x:v>
      </x:c>
      <x:c r="F55" s="48" t="n">
        <x:v>0.13333333333333333</x:v>
      </x:c>
      <x:c r="G55" s="48" t="n">
        <x:v>0.1</x:v>
      </x:c>
      <x:c r="H55" s="51" t="n">
        <x:v>13.737921167695474</x:v>
      </x:c>
      <x:c r="I55" s="61" t="str">
        <x:v>Handover and downstream evidence</x:v>
      </x:c>
      <x:c r="J55" s="1"/>
      <x:c r="K55" s="1"/>
    </x:row>
    <x:row r="56">
      <x:c r="A56" s="47" t="str">
        <x:v>b2479f944e1b90cf8a5de1bbfde284d6</x:v>
      </x:c>
      <x:c r="B56" s="89" t="str">
        <x:v>SP</x:v>
      </x:c>
      <x:c r="C56" s="89" t="str">
        <x:v>ibitinga</x:v>
      </x:c>
      <x:c r="D56" s="92" t="n">
        <x:v>98</x:v>
      </x:c>
      <x:c r="E56" s="92" t="n">
        <x:v>12</x:v>
      </x:c>
      <x:c r="F56" s="48" t="n">
        <x:v>0.12244897959183673</x:v>
      </x:c>
      <x:c r="G56" s="48" t="n">
        <x:v>0.12244897959183673</x:v>
      </x:c>
      <x:c r="H56" s="51" t="n">
        <x:v>12.756375543272863</x:v>
      </x:c>
      <x:c r="I56" s="61" t="str">
        <x:v>Handover and downstream evidence</x:v>
      </x:c>
      <x:c r="J56" s="1"/>
      <x:c r="K56" s="1"/>
    </x:row>
    <x:row r="57">
      <x:c r="A57" s="47" t="str">
        <x:v>b1fc4f64df5a0e8b6913ab38803c57a9</x:v>
      </x:c>
      <x:c r="B57" s="89" t="str">
        <x:v>RJ</x:v>
      </x:c>
      <x:c r="C57" s="89" t="str">
        <x:v>sao goncalo</x:v>
      </x:c>
      <x:c r="D57" s="92" t="n">
        <x:v>99</x:v>
      </x:c>
      <x:c r="E57" s="92" t="n">
        <x:v>12</x:v>
      </x:c>
      <x:c r="F57" s="48" t="n">
        <x:v>0.12121212121212122</x:v>
      </x:c>
      <x:c r="G57" s="48" t="n">
        <x:v>0.41414141414141414</x:v>
      </x:c>
      <x:c r="H57" s="51" t="n">
        <x:v>11.147496960344183</x:v>
      </x:c>
      <x:c r="I57" s="61" t="str">
        <x:v>Handover and downstream evidence</x:v>
      </x:c>
      <x:c r="J57" s="1"/>
      <x:c r="K57" s="1"/>
    </x:row>
    <x:row r="58">
      <x:c r="A58" s="47" t="str">
        <x:v>835f0f7810c76831d6c7d24c7a646d4d</x:v>
      </x:c>
      <x:c r="B58" s="89" t="str">
        <x:v>SP</x:v>
      </x:c>
      <x:c r="C58" s="89" t="str">
        <x:v>sao paulo</x:v>
      </x:c>
      <x:c r="D58" s="92" t="n">
        <x:v>40</x:v>
      </x:c>
      <x:c r="E58" s="92" t="n">
        <x:v>11</x:v>
      </x:c>
      <x:c r="F58" s="48" t="n">
        <x:v>0.275</x:v>
      </x:c>
      <x:c r="G58" s="48" t="n">
        <x:v>0.775</x:v>
      </x:c>
      <x:c r="H58" s="51" t="n">
        <x:v>8.316131076388888</x:v>
      </x:c>
      <x:c r="I58" s="61" t="str">
        <x:v>Seller cut-off and handover</x:v>
      </x:c>
      <x:c r="J58" s="1"/>
      <x:c r="K58" s="1"/>
    </x:row>
    <x:row r="59">
      <x:c r="A59" s="47" t="str">
        <x:v>6039e27294dc75811c0d8a39069f52c0</x:v>
      </x:c>
      <x:c r="B59" s="89" t="str">
        <x:v>SP</x:v>
      </x:c>
      <x:c r="C59" s="89" t="str">
        <x:v>osasco</x:v>
      </x:c>
      <x:c r="D59" s="92" t="n">
        <x:v>62</x:v>
      </x:c>
      <x:c r="E59" s="92" t="n">
        <x:v>11</x:v>
      </x:c>
      <x:c r="F59" s="48" t="n">
        <x:v>0.1774193548387097</x:v>
      </x:c>
      <x:c r="G59" s="48" t="n">
        <x:v>0.3548387096774194</x:v>
      </x:c>
      <x:c r="H59" s="51" t="n">
        <x:v>11.62673424432497</x:v>
      </x:c>
      <x:c r="I59" s="61" t="str">
        <x:v>Handover and downstream evidence</x:v>
      </x:c>
      <x:c r="J59" s="1"/>
      <x:c r="K59" s="1"/>
    </x:row>
    <x:row r="60">
      <x:c r="A60" s="47" t="str">
        <x:v>bbad7e518d7af88a0897397ffdca1979</x:v>
      </x:c>
      <x:c r="B60" s="89" t="str">
        <x:v>SP</x:v>
      </x:c>
      <x:c r="C60" s="89" t="str">
        <x:v>sao paulo</x:v>
      </x:c>
      <x:c r="D60" s="92" t="n">
        <x:v>64</x:v>
      </x:c>
      <x:c r="E60" s="92" t="n">
        <x:v>11</x:v>
      </x:c>
      <x:c r="F60" s="48" t="n">
        <x:v>0.171875</x:v>
      </x:c>
      <x:c r="G60" s="48" t="n">
        <x:v>0.390625</x:v>
      </x:c>
      <x:c r="H60" s="51" t="n">
        <x:v>8.61118869357639</x:v>
      </x:c>
      <x:c r="I60" s="61" t="str">
        <x:v>Seller cut-off and handover</x:v>
      </x:c>
      <x:c r="J60" s="1"/>
      <x:c r="K60" s="1"/>
    </x:row>
    <x:row r="61">
      <x:c r="A61" s="47" t="str">
        <x:v>11bfa66332777660bd0640ee84d47006</x:v>
      </x:c>
      <x:c r="B61" s="89" t="str">
        <x:v>SP</x:v>
      </x:c>
      <x:c r="C61" s="89" t="str">
        <x:v>ribeirao preto</x:v>
      </x:c>
      <x:c r="D61" s="92" t="n">
        <x:v>76</x:v>
      </x:c>
      <x:c r="E61" s="92" t="n">
        <x:v>11</x:v>
      </x:c>
      <x:c r="F61" s="48" t="n">
        <x:v>0.14473684210526316</x:v>
      </x:c>
      <x:c r="G61" s="48" t="n">
        <x:v>0.039473684210526314</x:v>
      </x:c>
      <x:c r="H61" s="51" t="n">
        <x:v>13.91176093445419</x:v>
      </x:c>
      <x:c r="I61" s="61" t="str">
        <x:v>Lane and downstream evidence</x:v>
      </x:c>
      <x:c r="J61" s="1"/>
      <x:c r="K61" s="1"/>
    </x:row>
    <x:row r="62">
      <x:c r="A62" s="47" t="str">
        <x:v>8e6d7754bc7e0f22c96d255ebda59eba</x:v>
      </x:c>
      <x:c r="B62" s="89" t="str">
        <x:v>SP</x:v>
      </x:c>
      <x:c r="C62" s="89" t="str">
        <x:v>sao jose dos campos</x:v>
      </x:c>
      <x:c r="D62" s="92" t="n">
        <x:v>77</x:v>
      </x:c>
      <x:c r="E62" s="92" t="n">
        <x:v>11</x:v>
      </x:c>
      <x:c r="F62" s="48" t="n">
        <x:v>0.14285714285714285</x:v>
      </x:c>
      <x:c r="G62" s="48" t="n">
        <x:v>0.38961038961038963</x:v>
      </x:c>
      <x:c r="H62" s="51" t="n">
        <x:v>10.203671536796536</x:v>
      </x:c>
      <x:c r="I62" s="61" t="str">
        <x:v>Handover and downstream evidence</x:v>
      </x:c>
      <x:c r="J62" s="1"/>
      <x:c r="K62" s="1"/>
    </x:row>
    <x:row r="63">
      <x:c r="A63" s="47" t="str">
        <x:v>ef990a83bbea832f36ebe81376335aa8</x:v>
      </x:c>
      <x:c r="B63" s="89" t="str">
        <x:v>SC</x:v>
      </x:c>
      <x:c r="C63" s="89" t="str">
        <x:v>joinville</x:v>
      </x:c>
      <x:c r="D63" s="92" t="n">
        <x:v>40</x:v>
      </x:c>
      <x:c r="E63" s="92" t="n">
        <x:v>9</x:v>
      </x:c>
      <x:c r="F63" s="48" t="n">
        <x:v>0.225</x:v>
      </x:c>
      <x:c r="G63" s="48" t="n">
        <x:v>0</x:v>
      </x:c>
      <x:c r="H63" s="51" t="n">
        <x:v>15.211670717592593</x:v>
      </x:c>
      <x:c r="I63" s="61" t="str">
        <x:v>Lane and downstream evidence</x:v>
      </x:c>
      <x:c r="J63" s="1"/>
      <x:c r="K63" s="1"/>
    </x:row>
    <x:row r="64">
      <x:c r="A64" s="47" t="str">
        <x:v>002100f778ceb8431b7a1020ff7ab48f</x:v>
      </x:c>
      <x:c r="B64" s="89" t="str">
        <x:v>SP</x:v>
      </x:c>
      <x:c r="C64" s="89" t="str">
        <x:v>franca</x:v>
      </x:c>
      <x:c r="D64" s="92" t="n">
        <x:v>48</x:v>
      </x:c>
      <x:c r="E64" s="92" t="n">
        <x:v>9</x:v>
      </x:c>
      <x:c r="F64" s="48" t="n">
        <x:v>0.1875</x:v>
      </x:c>
      <x:c r="G64" s="48" t="n">
        <x:v>0.08333333333333333</x:v>
      </x:c>
      <x:c r="H64" s="51" t="n">
        <x:v>11.936276041666666</x:v>
      </x:c>
      <x:c r="I64" s="61" t="str">
        <x:v>Lane and downstream evidence</x:v>
      </x:c>
      <x:c r="J64" s="1"/>
      <x:c r="K64" s="1"/>
    </x:row>
    <x:row r="65">
      <x:c r="A65" s="47" t="str">
        <x:v>ea566164622c6b439516ab18062c42cd</x:v>
      </x:c>
      <x:c r="B65" s="89" t="str">
        <x:v>SP</x:v>
      </x:c>
      <x:c r="C65" s="89" t="str">
        <x:v>sao  paulo</x:v>
      </x:c>
      <x:c r="D65" s="92" t="n">
        <x:v>50</x:v>
      </x:c>
      <x:c r="E65" s="92" t="n">
        <x:v>9</x:v>
      </x:c>
      <x:c r="F65" s="48" t="n">
        <x:v>0.18</x:v>
      </x:c>
      <x:c r="G65" s="48" t="n">
        <x:v>0.08</x:v>
      </x:c>
      <x:c r="H65" s="51" t="n">
        <x:v>10.105730787037038</x:v>
      </x:c>
      <x:c r="I65" s="61" t="str">
        <x:v>Lane and downstream evidence</x:v>
      </x:c>
      <x:c r="J65" s="1"/>
      <x:c r="K65" s="1"/>
    </x:row>
    <x:row r="66">
      <x:c r="A66" s="47" t="str">
        <x:v>05f51e13da97139648b8125c31e5f51b</x:v>
      </x:c>
      <x:c r="B66" s="89" t="str">
        <x:v>MG</x:v>
      </x:c>
      <x:c r="C66" s="89" t="str">
        <x:v>belo horizonte</x:v>
      </x:c>
      <x:c r="D66" s="92" t="n">
        <x:v>57</x:v>
      </x:c>
      <x:c r="E66" s="92" t="n">
        <x:v>9</x:v>
      </x:c>
      <x:c r="F66" s="48" t="n">
        <x:v>0.15789473684210525</x:v>
      </x:c>
      <x:c r="G66" s="48" t="n">
        <x:v>0.19298245614035087</x:v>
      </x:c>
      <x:c r="H66" s="51" t="n">
        <x:v>7.338907366796621</x:v>
      </x:c>
      <x:c r="I66" s="61" t="str">
        <x:v>Seller cut-off and handover</x:v>
      </x:c>
      <x:c r="J66" s="1"/>
      <x:c r="K66" s="1"/>
    </x:row>
    <x:row r="67">
      <x:c r="A67" s="47" t="str">
        <x:v>6fd52c528dcb38be2eea044946b811f8</x:v>
      </x:c>
      <x:c r="B67" s="89" t="str">
        <x:v>SP</x:v>
      </x:c>
      <x:c r="C67" s="89" t="str">
        <x:v>sao paulo</x:v>
      </x:c>
      <x:c r="D67" s="92" t="n">
        <x:v>67</x:v>
      </x:c>
      <x:c r="E67" s="92" t="n">
        <x:v>9</x:v>
      </x:c>
      <x:c r="F67" s="48" t="n">
        <x:v>0.13432835820895522</x:v>
      </x:c>
      <x:c r="G67" s="48" t="n">
        <x:v>0.2835820895522388</x:v>
      </x:c>
      <x:c r="H67" s="51" t="n">
        <x:v>7.391035793255942</x:v>
      </x:c>
      <x:c r="I67" s="61" t="str">
        <x:v>Seller cut-off and handover</x:v>
      </x:c>
      <x:c r="J67" s="1"/>
      <x:c r="K67" s="1"/>
    </x:row>
    <x:row r="68">
      <x:c r="A68" s="47" t="str">
        <x:v>0b35c634521043bf4b47e21547b99ab5</x:v>
      </x:c>
      <x:c r="B68" s="89" t="str">
        <x:v>PR</x:v>
      </x:c>
      <x:c r="C68" s="89" t="str">
        <x:v>teixeira soares</x:v>
      </x:c>
      <x:c r="D68" s="92" t="n">
        <x:v>43</x:v>
      </x:c>
      <x:c r="E68" s="92" t="n">
        <x:v>8</x:v>
      </x:c>
      <x:c r="F68" s="48" t="n">
        <x:v>0.18604651162790697</x:v>
      </x:c>
      <x:c r="G68" s="48" t="n">
        <x:v>0.09302325581395349</x:v>
      </x:c>
      <x:c r="H68" s="51" t="n">
        <x:v>16.781422265288544</x:v>
      </x:c>
      <x:c r="I68" s="61" t="str">
        <x:v>Handover and downstream evidence</x:v>
      </x:c>
      <x:c r="J68" s="1"/>
      <x:c r="K68" s="1"/>
    </x:row>
    <x:row r="69">
      <x:c r="A69" s="47" t="str">
        <x:v>602044f2c16190c2c6e45eb35c2e21cb</x:v>
      </x:c>
      <x:c r="B69" s="89" t="str">
        <x:v>SP</x:v>
      </x:c>
      <x:c r="C69" s="89" t="str">
        <x:v>ibitinga</x:v>
      </x:c>
      <x:c r="D69" s="92" t="n">
        <x:v>45</x:v>
      </x:c>
      <x:c r="E69" s="92" t="n">
        <x:v>8</x:v>
      </x:c>
      <x:c r="F69" s="48" t="n">
        <x:v>0.17777777777777778</x:v>
      </x:c>
      <x:c r="G69" s="48" t="n">
        <x:v>0</x:v>
      </x:c>
      <x:c r="H69" s="51" t="n">
        <x:v>13.173315586419752</x:v>
      </x:c>
      <x:c r="I69" s="61" t="str">
        <x:v>Lane and downstream evidence</x:v>
      </x:c>
      <x:c r="J69" s="1"/>
      <x:c r="K69" s="1"/>
    </x:row>
    <x:row r="70">
      <x:c r="A70" s="47" t="str">
        <x:v>2a261b5b644fa05f4f2700eb93544f2c</x:v>
      </x:c>
      <x:c r="B70" s="89" t="str">
        <x:v>SP</x:v>
      </x:c>
      <x:c r="C70" s="89" t="str">
        <x:v>porto ferreira</x:v>
      </x:c>
      <x:c r="D70" s="92" t="n">
        <x:v>46</x:v>
      </x:c>
      <x:c r="E70" s="92" t="n">
        <x:v>8</x:v>
      </x:c>
      <x:c r="F70" s="48" t="n">
        <x:v>0.17391304347826086</x:v>
      </x:c>
      <x:c r="G70" s="48" t="n">
        <x:v>0.021739130434782608</x:v>
      </x:c>
      <x:c r="H70" s="51" t="n">
        <x:v>12.596492552334944</x:v>
      </x:c>
      <x:c r="I70" s="61" t="str">
        <x:v>Lane and downstream evidence</x:v>
      </x:c>
      <x:c r="J70" s="1"/>
      <x:c r="K70" s="1"/>
    </x:row>
    <x:row r="71">
      <x:c r="A71" s="47" t="str">
        <x:v>abe42c5d03695b4257b5c6cbf4e6784e</x:v>
      </x:c>
      <x:c r="B71" s="89" t="str">
        <x:v>RJ</x:v>
      </x:c>
      <x:c r="C71" s="89" t="str">
        <x:v>rio de janeiro</x:v>
      </x:c>
      <x:c r="D71" s="92" t="n">
        <x:v>49</x:v>
      </x:c>
      <x:c r="E71" s="92" t="n">
        <x:v>8</x:v>
      </x:c>
      <x:c r="F71" s="48" t="n">
        <x:v>0.16326530612244897</x:v>
      </x:c>
      <x:c r="G71" s="48" t="n">
        <x:v>0</x:v>
      </x:c>
      <x:c r="H71" s="51" t="n">
        <x:v>12.416795162509448</x:v>
      </x:c>
      <x:c r="I71" s="61" t="str">
        <x:v>Lane and downstream evidence</x:v>
      </x:c>
      <x:c r="J71" s="1"/>
      <x:c r="K71" s="1"/>
    </x:row>
    <x:row r="72">
      <x:c r="A72" s="47" t="str">
        <x:v>b17b679f4f5ce2e03ce6968c62648246</x:v>
      </x:c>
      <x:c r="B72" s="89" t="str">
        <x:v>SP</x:v>
      </x:c>
      <x:c r="C72" s="89" t="str">
        <x:v>ribeirao preto</x:v>
      </x:c>
      <x:c r="D72" s="92" t="n">
        <x:v>50</x:v>
      </x:c>
      <x:c r="E72" s="92" t="n">
        <x:v>8</x:v>
      </x:c>
      <x:c r="F72" s="48" t="n">
        <x:v>0.16</x:v>
      </x:c>
      <x:c r="G72" s="48" t="n">
        <x:v>0.18</x:v>
      </x:c>
      <x:c r="H72" s="51" t="n">
        <x:v>14.62440185185185</x:v>
      </x:c>
      <x:c r="I72" s="61" t="str">
        <x:v>Handover and downstream evidence</x:v>
      </x:c>
      <x:c r="J72" s="1"/>
      <x:c r="K72" s="1"/>
    </x:row>
    <x:row r="73">
      <x:c r="A73" s="47" t="str">
        <x:v>3fd1e727ba94cfe122d165e176ce7967</x:v>
      </x:c>
      <x:c r="B73" s="89" t="str">
        <x:v>SP</x:v>
      </x:c>
      <x:c r="C73" s="89" t="str">
        <x:v>araraquara</x:v>
      </x:c>
      <x:c r="D73" s="92" t="n">
        <x:v>34</x:v>
      </x:c>
      <x:c r="E73" s="92" t="n">
        <x:v>7</x:v>
      </x:c>
      <x:c r="F73" s="48" t="n">
        <x:v>0.20588235294117646</x:v>
      </x:c>
      <x:c r="G73" s="48" t="n">
        <x:v>0</x:v>
      </x:c>
      <x:c r="H73" s="51" t="n">
        <x:v>13.31385246459695</x:v>
      </x:c>
      <x:c r="I73" s="61" t="str">
        <x:v>Lane and downstream evidence</x:v>
      </x:c>
      <x:c r="J73" s="1"/>
      <x:c r="K73" s="1"/>
    </x:row>
    <x:row r="74">
      <x:c r="A74" s="47" t="str">
        <x:v>71039d19d4303bf9054d69e9a9236699</x:v>
      </x:c>
      <x:c r="B74" s="89" t="str">
        <x:v>SP</x:v>
      </x:c>
      <x:c r="C74" s="89" t="str">
        <x:v>sao paulo</x:v>
      </x:c>
      <x:c r="D74" s="92" t="n">
        <x:v>34</x:v>
      </x:c>
      <x:c r="E74" s="92" t="n">
        <x:v>7</x:v>
      </x:c>
      <x:c r="F74" s="48" t="n">
        <x:v>0.20588235294117646</x:v>
      </x:c>
      <x:c r="G74" s="48" t="n">
        <x:v>0.058823529411764705</x:v>
      </x:c>
      <x:c r="H74" s="51" t="n">
        <x:v>11.733649918300655</x:v>
      </x:c>
      <x:c r="I74" s="61" t="str">
        <x:v>Lane and downstream evidence</x:v>
      </x:c>
      <x:c r="J74" s="1"/>
      <x:c r="K74" s="1"/>
    </x:row>
    <x:row r="75">
      <x:c r="A75" s="47" t="str">
        <x:v>8b9d6eec4a7eb7d0f9d579ce0b38324d</x:v>
      </x:c>
      <x:c r="B75" s="89" t="str">
        <x:v>RJ</x:v>
      </x:c>
      <x:c r="C75" s="89" t="str">
        <x:v>mesquita</x:v>
      </x:c>
      <x:c r="D75" s="92" t="n">
        <x:v>44</x:v>
      </x:c>
      <x:c r="E75" s="92" t="n">
        <x:v>7</x:v>
      </x:c>
      <x:c r="F75" s="48" t="n">
        <x:v>0.1590909090909091</x:v>
      </x:c>
      <x:c r="G75" s="48" t="n">
        <x:v>0.22727272727272727</x:v>
      </x:c>
      <x:c r="H75" s="51" t="n">
        <x:v>8.471015888047138</x:v>
      </x:c>
      <x:c r="I75" s="61" t="str">
        <x:v>Seller cut-off and handover</x:v>
      </x:c>
      <x:c r="J75" s="1"/>
      <x:c r="K75" s="1"/>
    </x:row>
    <x:row r="76">
      <x:c r="A76" s="47" t="str">
        <x:v>50c9975695009e5e6473912e83a6d1da</x:v>
      </x:c>
      <x:c r="B76" s="89" t="str">
        <x:v>MG</x:v>
      </x:c>
      <x:c r="C76" s="89" t="str">
        <x:v>claudio</x:v>
      </x:c>
      <x:c r="D76" s="92" t="n">
        <x:v>49</x:v>
      </x:c>
      <x:c r="E76" s="92" t="n">
        <x:v>7</x:v>
      </x:c>
      <x:c r="F76" s="48" t="n">
        <x:v>0.14285714285714285</x:v>
      </x:c>
      <x:c r="G76" s="48" t="n">
        <x:v>0.08163265306122448</x:v>
      </x:c>
      <x:c r="H76" s="51" t="n">
        <x:v>12.923838340891914</x:v>
      </x:c>
      <x:c r="I76" s="61" t="str">
        <x:v>Lane and downstream evidence</x:v>
      </x:c>
      <x:c r="J76" s="1"/>
      <x:c r="K76" s="1"/>
    </x:row>
    <x:row r="77">
      <x:c r="A77" s="47" t="str">
        <x:v>66e0557ecc2b4dbea057e93f215f68d8</x:v>
      </x:c>
      <x:c r="B77" s="89" t="str">
        <x:v>SP</x:v>
      </x:c>
      <x:c r="C77" s="89" t="str">
        <x:v>sao paulo</x:v>
      </x:c>
      <x:c r="D77" s="92" t="n">
        <x:v>30</x:v>
      </x:c>
      <x:c r="E77" s="92" t="n">
        <x:v>6</x:v>
      </x:c>
      <x:c r="F77" s="48" t="n">
        <x:v>0.2</x:v>
      </x:c>
      <x:c r="G77" s="48" t="n">
        <x:v>0.26666666666666666</x:v>
      </x:c>
      <x:c r="H77" s="51" t="n">
        <x:v>13.606077932098765</x:v>
      </x:c>
      <x:c r="I77" s="61" t="str">
        <x:v>Handover and downstream evidence</x:v>
      </x:c>
      <x:c r="J77" s="1"/>
      <x:c r="K77" s="1"/>
    </x:row>
    <x:row r="78">
      <x:c r="A78" s="47" t="str">
        <x:v>dd55f1bb788714a40e7954c3be6df745</x:v>
      </x:c>
      <x:c r="B78" s="89" t="str">
        <x:v>SP</x:v>
      </x:c>
      <x:c r="C78" s="89" t="str">
        <x:v>sao paulo</x:v>
      </x:c>
      <x:c r="D78" s="92" t="n">
        <x:v>35</x:v>
      </x:c>
      <x:c r="E78" s="92" t="n">
        <x:v>6</x:v>
      </x:c>
      <x:c r="F78" s="48" t="n">
        <x:v>0.17142857142857143</x:v>
      </x:c>
      <x:c r="G78" s="48" t="n">
        <x:v>0.08571428571428572</x:v>
      </x:c>
      <x:c r="H78" s="51" t="n">
        <x:v>14.39077943121693</x:v>
      </x:c>
      <x:c r="I78" s="61" t="str">
        <x:v>Lane and downstream evidence</x:v>
      </x:c>
      <x:c r="J78" s="1"/>
      <x:c r="K78" s="1"/>
    </x:row>
    <x:row r="79">
      <x:c r="A79" s="47" t="str">
        <x:v>ec8879960bd2221d5c32f8e12f7da711</x:v>
      </x:c>
      <x:c r="B79" s="89" t="str">
        <x:v>SP</x:v>
      </x:c>
      <x:c r="C79" s="89" t="str">
        <x:v>itatiba</x:v>
      </x:c>
      <x:c r="D79" s="92" t="n">
        <x:v>35</x:v>
      </x:c>
      <x:c r="E79" s="92" t="n">
        <x:v>6</x:v>
      </x:c>
      <x:c r="F79" s="48" t="n">
        <x:v>0.17142857142857143</x:v>
      </x:c>
      <x:c r="G79" s="48" t="n">
        <x:v>0</x:v>
      </x:c>
      <x:c r="H79" s="51" t="n">
        <x:v>14.081410383597882</x:v>
      </x:c>
      <x:c r="I79" s="61" t="str">
        <x:v>Lane and downstream evidence</x:v>
      </x:c>
      <x:c r="J79" s="1"/>
      <x:c r="K79" s="1"/>
    </x:row>
    <x:row r="80">
      <x:c r="A80" s="47" t="str">
        <x:v>3c03b12bab54d8b37d79d914bfdb1aa0</x:v>
      </x:c>
      <x:c r="B80" s="89" t="str">
        <x:v>RJ</x:v>
      </x:c>
      <x:c r="C80" s="89" t="str">
        <x:v>sao joao de meriti</x:v>
      </x:c>
      <x:c r="D80" s="92" t="n">
        <x:v>36</x:v>
      </x:c>
      <x:c r="E80" s="92" t="n">
        <x:v>6</x:v>
      </x:c>
      <x:c r="F80" s="48" t="n">
        <x:v>0.16666666666666666</x:v>
      </x:c>
      <x:c r="G80" s="48" t="n">
        <x:v>0</x:v>
      </x:c>
      <x:c r="H80" s="51" t="n">
        <x:v>12.00930652006173</x:v>
      </x:c>
      <x:c r="I80" s="61" t="str">
        <x:v>Lane and downstream evidence</x:v>
      </x:c>
      <x:c r="J80" s="1"/>
      <x:c r="K80" s="1"/>
    </x:row>
    <x:row r="81">
      <x:c r="A81" s="47" t="str">
        <x:v>c60b801f2d52c7f7f91de00870882a75</x:v>
      </x:c>
      <x:c r="B81" s="89" t="str">
        <x:v>SP</x:v>
      </x:c>
      <x:c r="C81" s="89" t="str">
        <x:v>guarulhos</x:v>
      </x:c>
      <x:c r="D81" s="92" t="n">
        <x:v>36</x:v>
      </x:c>
      <x:c r="E81" s="92" t="n">
        <x:v>6</x:v>
      </x:c>
      <x:c r="F81" s="48" t="n">
        <x:v>0.16666666666666666</x:v>
      </x:c>
      <x:c r="G81" s="48" t="n">
        <x:v>0.4166666666666667</x:v>
      </x:c>
      <x:c r="H81" s="51" t="n">
        <x:v>8.755448173868313</x:v>
      </x:c>
      <x:c r="I81" s="61" t="str">
        <x:v>Seller cut-off and handover</x:v>
      </x:c>
      <x:c r="J81" s="1"/>
      <x:c r="K81" s="1"/>
    </x:row>
    <x:row r="82">
      <x:c r="A82" s="47" t="str">
        <x:v>0bf0150d5b9d60d9cd2906003332f085</x:v>
      </x:c>
      <x:c r="B82" s="89" t="str">
        <x:v>SP</x:v>
      </x:c>
      <x:c r="C82" s="89" t="str">
        <x:v>sao paulo</x:v>
      </x:c>
      <x:c r="D82" s="92" t="n">
        <x:v>39</x:v>
      </x:c>
      <x:c r="E82" s="92" t="n">
        <x:v>6</x:v>
      </x:c>
      <x:c r="F82" s="48" t="n">
        <x:v>0.15384615384615385</x:v>
      </x:c>
      <x:c r="G82" s="48" t="n">
        <x:v>0.28205128205128205</x:v>
      </x:c>
      <x:c r="H82" s="51" t="n">
        <x:v>8.587070868945869</x:v>
      </x:c>
      <x:c r="I82" s="61" t="str">
        <x:v>Seller cut-off and handover</x:v>
      </x:c>
      <x:c r="J82" s="1"/>
      <x:c r="K82" s="1"/>
    </x:row>
    <x:row r="83">
      <x:c r="A83" s="53" t="str">
        <x:v>834f8533b2ecb6598dd004ff3de7203a</x:v>
      </x:c>
      <x:c r="B83" s="90" t="str">
        <x:v>SP</x:v>
      </x:c>
      <x:c r="C83" s="90" t="str">
        <x:v>sao paulo</x:v>
      </x:c>
      <x:c r="D83" s="54" t="n">
        <x:v>40</x:v>
      </x:c>
      <x:c r="E83" s="54" t="n">
        <x:v>6</x:v>
      </x:c>
      <x:c r="F83" s="93" t="n">
        <x:v>0.15</x:v>
      </x:c>
      <x:c r="G83" s="93" t="n">
        <x:v>0.475</x:v>
      </x:c>
      <x:c r="H83" s="124" t="n">
        <x:v>7.269738425925927</x:v>
      </x:c>
      <x:c r="I83" s="62" t="str">
        <x:v>Seller cut-off and handover</x:v>
      </x:c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conditionalFormatting sqref="F5:F83">
    <x:cfRule type="colorScale" priority="1">
      <x:colorScale>
        <x:cfvo type="min"/>
        <x:cfvo type="percentile" val="50"/>
        <x:cfvo type="max"/>
        <x:color rgb="FFFFF2CC"/>
        <x:color rgb="FFF4A582"/>
        <x:color rgb="FFB2182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63A5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7" customHeight="1">
      <x:c r="A1" s="2" t="str">
        <x:v>Lane priorities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" customHeight="1">
      <x:c r="A2" s="3" t="str">
        <x:v>Sorted by excess late orders above the overall rate; minimum 30 eligible orders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21" t="str">
        <x:v>Lane proxy</x:v>
      </x:c>
      <x:c r="B4" s="22" t="str">
        <x:v>Seller state</x:v>
      </x:c>
      <x:c r="C4" s="22" t="str">
        <x:v>Customer state</x:v>
      </x:c>
      <x:c r="D4" s="22" t="str">
        <x:v>Orders</x:v>
      </x:c>
      <x:c r="E4" s="22" t="str">
        <x:v>Late orders</x:v>
      </x:c>
      <x:c r="F4" s="22" t="str">
        <x:v>On-time rate</x:v>
      </x:c>
      <x:c r="G4" s="22" t="str">
        <x:v>Late rate</x:v>
      </x:c>
      <x:c r="H4" s="22" t="str">
        <x:v>Excess late orders</x:v>
      </x:c>
      <x:c r="I4" s="22" t="str">
        <x:v>Late dispatch</x:v>
      </x:c>
      <x:c r="J4" s="23" t="str">
        <x:v>Carrier days</x:v>
      </x:c>
      <x:c r="K4" s="1"/>
    </x:row>
    <x:row r="5">
      <x:c r="A5" s="43" t="str">
        <x:v>SP → RJ</x:v>
      </x:c>
      <x:c r="B5" s="88" t="str">
        <x:v>SP</x:v>
      </x:c>
      <x:c r="C5" s="88" t="str">
        <x:v>RJ</x:v>
      </x:c>
      <x:c r="D5" s="91" t="n">
        <x:v>8048</x:v>
      </x:c>
      <x:c r="E5" s="91" t="n">
        <x:v>1147</x:v>
      </x:c>
      <x:c r="F5" s="44" t="n">
        <x:v>0.8574801192842942</x:v>
      </x:c>
      <x:c r="G5" s="44" t="n">
        <x:v>0.14251988071570576</x:v>
      </x:c>
      <x:c r="H5" s="91" t="n">
        <x:v>595.6999527286097</x:v>
      </x:c>
      <x:c r="I5" s="44" t="n">
        <x:v>0.095551689860835</x:v>
      </x:c>
      <x:c r="J5" s="129" t="n">
        <x:v>12.934095640278699</x:v>
      </x:c>
      <x:c r="K5" s="1"/>
    </x:row>
    <x:row r="6">
      <x:c r="A6" s="47" t="str">
        <x:v>SP → BA</x:v>
      </x:c>
      <x:c r="B6" s="89" t="str">
        <x:v>SP</x:v>
      </x:c>
      <x:c r="C6" s="89" t="str">
        <x:v>BA</x:v>
      </x:c>
      <x:c r="D6" s="92" t="n">
        <x:v>2278</x:v>
      </x:c>
      <x:c r="E6" s="92" t="n">
        <x:v>297</x:v>
      </x:c>
      <x:c r="F6" s="48" t="n">
        <x:v>0.869622475856014</x:v>
      </x:c>
      <x:c r="G6" s="48" t="n">
        <x:v>0.13037752414398596</x:v>
      </x:c>
      <x:c r="H6" s="92" t="n">
        <x:v>140.95358999947476</x:v>
      </x:c>
      <x:c r="I6" s="48" t="n">
        <x:v>0.08516242317822652</x:v>
      </x:c>
      <x:c r="J6" s="130" t="n">
        <x:v>16.570076196834453</x:v>
      </x:c>
      <x:c r="K6" s="1"/>
    </x:row>
    <x:row r="7">
      <x:c r="A7" s="47" t="str">
        <x:v>SP → ES</x:v>
      </x:c>
      <x:c r="B7" s="89" t="str">
        <x:v>SP</x:v>
      </x:c>
      <x:c r="C7" s="89" t="str">
        <x:v>ES</x:v>
      </x:c>
      <x:c r="D7" s="92" t="n">
        <x:v>1444</x:v>
      </x:c>
      <x:c r="E7" s="92" t="n">
        <x:v>180</x:v>
      </x:c>
      <x:c r="F7" s="48" t="n">
        <x:v>0.8753462603878116</x:v>
      </x:c>
      <x:c r="G7" s="48" t="n">
        <x:v>0.12465373961218837</x:v>
      </x:c>
      <x:c r="H7" s="92" t="n">
        <x:v>81.08383843689269</x:v>
      </x:c>
      <x:c r="I7" s="48" t="n">
        <x:v>0.09002770083102493</x:v>
      </x:c>
      <x:c r="J7" s="130" t="n">
        <x:v>12.489839638157894</x:v>
      </x:c>
      <x:c r="K7" s="1"/>
    </x:row>
    <x:row r="8">
      <x:c r="A8" s="47" t="str">
        <x:v>SP → CE</x:v>
      </x:c>
      <x:c r="B8" s="89" t="str">
        <x:v>SP</x:v>
      </x:c>
      <x:c r="C8" s="89" t="str">
        <x:v>CE</x:v>
      </x:c>
      <x:c r="D8" s="92" t="n">
        <x:v>961</x:v>
      </x:c>
      <x:c r="E8" s="92" t="n">
        <x:v>133</x:v>
      </x:c>
      <x:c r="F8" s="48" t="n">
        <x:v>0.8616024973985432</x:v>
      </x:c>
      <x:c r="G8" s="48" t="n">
        <x:v>0.1383975026014568</x:v>
      </x:c>
      <x:c r="H8" s="92" t="n">
        <x:v>67.1700614528074</x:v>
      </x:c>
      <x:c r="I8" s="48" t="n">
        <x:v>0.08949011446409989</x:v>
      </x:c>
      <x:c r="J8" s="130" t="n">
        <x:v>17.98764440494084</x:v>
      </x:c>
      <x:c r="K8" s="1"/>
    </x:row>
    <x:row r="9">
      <x:c r="A9" s="47" t="str">
        <x:v>SP → SC</x:v>
      </x:c>
      <x:c r="B9" s="89" t="str">
        <x:v>SP</x:v>
      </x:c>
      <x:c r="C9" s="89" t="str">
        <x:v>SC</x:v>
      </x:c>
      <x:c r="D9" s="92" t="n">
        <x:v>2306</x:v>
      </x:c>
      <x:c r="E9" s="92" t="n">
        <x:v>222</x:v>
      </x:c>
      <x:c r="F9" s="48" t="n">
        <x:v>0.9037294015611448</x:v>
      </x:c>
      <x:c r="G9" s="48" t="n">
        <x:v>0.09627059843885516</x:v>
      </x:c>
      <x:c r="H9" s="92" t="n">
        <x:v>64.03554808550871</x:v>
      </x:c>
      <x:c r="I9" s="48" t="n">
        <x:v>0.08803122289679098</x:v>
      </x:c>
      <x:c r="J9" s="130" t="n">
        <x:v>12.546322706867754</x:v>
      </x:c>
      <x:c r="K9" s="1"/>
    </x:row>
    <x:row r="10">
      <x:c r="A10" s="47" t="str">
        <x:v>SP → MA</x:v>
      </x:c>
      <x:c r="B10" s="89" t="str">
        <x:v>SP</x:v>
      </x:c>
      <x:c r="C10" s="89" t="str">
        <x:v>MA</x:v>
      </x:c>
      <x:c r="D10" s="92" t="n">
        <x:v>486</x:v>
      </x:c>
      <x:c r="E10" s="92" t="n">
        <x:v>93</x:v>
      </x:c>
      <x:c r="F10" s="48" t="n">
        <x:v>0.808641975308642</x:v>
      </x:c>
      <x:c r="G10" s="48" t="n">
        <x:v>0.19135802469135801</x:v>
      </x:c>
      <x:c r="H10" s="92" t="n">
        <x:v>59.70827249330322</x:v>
      </x:c>
      <x:c r="I10" s="48" t="n">
        <x:v>0.08641975308641975</x:v>
      </x:c>
      <x:c r="J10" s="130" t="n">
        <x:v>18.581455689871973</x:v>
      </x:c>
      <x:c r="K10" s="1"/>
    </x:row>
    <x:row r="11">
      <x:c r="A11" s="47" t="str">
        <x:v>PR → RJ</x:v>
      </x:c>
      <x:c r="B11" s="89" t="str">
        <x:v>PR</x:v>
      </x:c>
      <x:c r="C11" s="89" t="str">
        <x:v>RJ</x:v>
      </x:c>
      <x:c r="D11" s="92" t="n">
        <x:v>951</x:v>
      </x:c>
      <x:c r="E11" s="92" t="n">
        <x:v>117</x:v>
      </x:c>
      <x:c r="F11" s="48" t="n">
        <x:v>0.8769716088328076</x:v>
      </x:c>
      <x:c r="G11" s="48" t="n">
        <x:v>0.12302839116719243</x:v>
      </x:c>
      <x:c r="H11" s="92" t="n">
        <x:v>51.855076422081</x:v>
      </x:c>
      <x:c r="I11" s="48" t="n">
        <x:v>0.11777076761303891</x:v>
      </x:c>
      <x:c r="J11" s="130" t="n">
        <x:v>13.897363788604588</x:v>
      </x:c>
      <x:c r="K11" s="1"/>
    </x:row>
    <x:row r="12">
      <x:c r="A12" s="47" t="str">
        <x:v>SP → AL</x:v>
      </x:c>
      <x:c r="B12" s="89" t="str">
        <x:v>SP</x:v>
      </x:c>
      <x:c r="C12" s="89" t="str">
        <x:v>AL</x:v>
      </x:c>
      <x:c r="D12" s="92" t="n">
        <x:v>254</x:v>
      </x:c>
      <x:c r="E12" s="92" t="n">
        <x:v>61</x:v>
      </x:c>
      <x:c r="F12" s="48" t="n">
        <x:v>0.7598425196850394</x:v>
      </x:c>
      <x:c r="G12" s="48" t="n">
        <x:v>0.24015748031496062</x:v>
      </x:c>
      <x:c r="H12" s="92" t="n">
        <x:v>43.60061978045066</x:v>
      </x:c>
      <x:c r="I12" s="48" t="n">
        <x:v>0.09448818897637795</x:v>
      </x:c>
      <x:c r="J12" s="130" t="n">
        <x:v>21.774578548775153</x:v>
      </x:c>
      <x:c r="K12" s="1"/>
    </x:row>
    <x:row r="13">
      <x:c r="A13" s="47" t="str">
        <x:v>SP → PA</x:v>
      </x:c>
      <x:c r="B13" s="89" t="str">
        <x:v>SP</x:v>
      </x:c>
      <x:c r="C13" s="89" t="str">
        <x:v>PA</x:v>
      </x:c>
      <x:c r="D13" s="92" t="n">
        <x:v>675</x:v>
      </x:c>
      <x:c r="E13" s="92" t="n">
        <x:v>81</x:v>
      </x:c>
      <x:c r="F13" s="48" t="n">
        <x:v>0.88</x:v>
      </x:c>
      <x:c r="G13" s="48" t="n">
        <x:v>0.12</x:v>
      </x:c>
      <x:c r="H13" s="92" t="n">
        <x:v>34.761489574032254</x:v>
      </x:c>
      <x:c r="I13" s="48" t="n">
        <x:v>0.07703703703703704</x:v>
      </x:c>
      <x:c r="J13" s="130" t="n">
        <x:v>19.900853206447188</x:v>
      </x:c>
      <x:c r="K13" s="1"/>
    </x:row>
    <x:row r="14">
      <x:c r="A14" s="47" t="str">
        <x:v>SP → PE</x:v>
      </x:c>
      <x:c r="B14" s="89" t="str">
        <x:v>SP</x:v>
      </x:c>
      <x:c r="C14" s="89" t="str">
        <x:v>PE</x:v>
      </x:c>
      <x:c r="D14" s="92" t="n">
        <x:v>1126</x:v>
      </x:c>
      <x:c r="E14" s="92" t="n">
        <x:v>111</x:v>
      </x:c>
      <x:c r="F14" s="48" t="n">
        <x:v>0.9014209591474245</x:v>
      </x:c>
      <x:c r="G14" s="48" t="n">
        <x:v>0.09857904085257549</x:v>
      </x:c>
      <x:c r="H14" s="92" t="n">
        <x:v>33.867314459793064</x:v>
      </x:c>
      <x:c r="I14" s="48" t="n">
        <x:v>0.08880994671403197</x:v>
      </x:c>
      <x:c r="J14" s="130" t="n">
        <x:v>15.676092084813497</x:v>
      </x:c>
      <x:c r="K14" s="1"/>
    </x:row>
    <x:row r="15">
      <x:c r="A15" s="47" t="str">
        <x:v>SP → PI</x:v>
      </x:c>
      <x:c r="B15" s="89" t="str">
        <x:v>SP</x:v>
      </x:c>
      <x:c r="C15" s="89" t="str">
        <x:v>PI</x:v>
      </x:c>
      <x:c r="D15" s="92" t="n">
        <x:v>327</x:v>
      </x:c>
      <x:c r="E15" s="92" t="n">
        <x:v>54</x:v>
      </x:c>
      <x:c r="F15" s="48" t="n">
        <x:v>0.8348623853211009</x:v>
      </x:c>
      <x:c r="G15" s="48" t="n">
        <x:v>0.1651376146788991</x:v>
      </x:c>
      <x:c r="H15" s="92" t="n">
        <x:v>31.600010504753403</x:v>
      </x:c>
      <x:c r="I15" s="48" t="n">
        <x:v>0.08256880733944955</x:v>
      </x:c>
      <x:c r="J15" s="130" t="n">
        <x:v>16.97778524606411</x:v>
      </x:c>
      <x:c r="K15" s="1"/>
    </x:row>
    <x:row r="16">
      <x:c r="A16" s="47" t="str">
        <x:v>SP → MS</x:v>
      </x:c>
      <x:c r="B16" s="89" t="str">
        <x:v>SP</x:v>
      </x:c>
      <x:c r="C16" s="89" t="str">
        <x:v>MS</x:v>
      </x:c>
      <x:c r="D16" s="92" t="n">
        <x:v>471</x:v>
      </x:c>
      <x:c r="E16" s="92" t="n">
        <x:v>59</x:v>
      </x:c>
      <x:c r="F16" s="48" t="n">
        <x:v>0.8747346072186837</x:v>
      </x:c>
      <x:c r="G16" s="48" t="n">
        <x:v>0.12526539278131635</x:v>
      </x:c>
      <x:c r="H16" s="92" t="n">
        <x:v>26.735794947213613</x:v>
      </x:c>
      <x:c r="I16" s="48" t="n">
        <x:v>0.09554140127388536</x:v>
      </x:c>
      <x:c r="J16" s="130" t="n">
        <x:v>12.8026973735944</x:v>
      </x:c>
      <x:c r="K16" s="1"/>
    </x:row>
    <x:row r="17">
      <x:c r="A17" s="47" t="str">
        <x:v>SP → SE</x:v>
      </x:c>
      <x:c r="B17" s="89" t="str">
        <x:v>SP</x:v>
      </x:c>
      <x:c r="C17" s="89" t="str">
        <x:v>SE</x:v>
      </x:c>
      <x:c r="D17" s="92" t="n">
        <x:v>205</x:v>
      </x:c>
      <x:c r="E17" s="92" t="n">
        <x:v>34</x:v>
      </x:c>
      <x:c r="F17" s="48" t="n">
        <x:v>0.8341463414634146</x:v>
      </x:c>
      <x:c r="G17" s="48" t="n">
        <x:v>0.16585365853658537</x:v>
      </x:c>
      <x:c r="H17" s="92" t="n">
        <x:v>19.957193129891277</x:v>
      </x:c>
      <x:c r="I17" s="48" t="n">
        <x:v>0.11219512195121951</x:v>
      </x:c>
      <x:c r="J17" s="130" t="n">
        <x:v>17.848156729900634</x:v>
      </x:c>
      <x:c r="K17" s="1"/>
    </x:row>
    <x:row r="18">
      <x:c r="A18" s="47" t="str">
        <x:v>MG → RJ</x:v>
      </x:c>
      <x:c r="B18" s="89" t="str">
        <x:v>MG</x:v>
      </x:c>
      <x:c r="C18" s="89" t="str">
        <x:v>RJ</x:v>
      </x:c>
      <x:c r="D18" s="92" t="n">
        <x:v>1124</x:v>
      </x:c>
      <x:c r="E18" s="92" t="n">
        <x:v>94</x:v>
      </x:c>
      <x:c r="F18" s="48" t="n">
        <x:v>0.9163701067615658</x:v>
      </x:c>
      <x:c r="G18" s="48" t="n">
        <x:v>0.08362989323843416</x:v>
      </x:c>
      <x:c r="H18" s="92" t="n">
        <x:v>17.004317453647772</x:v>
      </x:c>
      <x:c r="I18" s="48" t="n">
        <x:v>0.059608540925266906</x:v>
      </x:c>
      <x:c r="J18" s="130" t="n">
        <x:v>11.177812644161065</x:v>
      </x:c>
      <x:c r="K18" s="1"/>
    </x:row>
    <x:row r="19">
      <x:c r="A19" s="47" t="str">
        <x:v>MA → SP</x:v>
      </x:c>
      <x:c r="B19" s="89" t="str">
        <x:v>MA</x:v>
      </x:c>
      <x:c r="C19" s="89" t="str">
        <x:v>SP</x:v>
      </x:c>
      <x:c r="D19" s="92" t="n">
        <x:v>123</x:v>
      </x:c>
      <x:c r="E19" s="92" t="n">
        <x:v>25</x:v>
      </x:c>
      <x:c r="F19" s="48" t="n">
        <x:v>0.7967479674796748</x:v>
      </x:c>
      <x:c r="G19" s="48" t="n">
        <x:v>0.2032520325203252</x:v>
      </x:c>
      <x:c r="H19" s="92" t="n">
        <x:v>16.574315877934765</x:v>
      </x:c>
      <x:c r="I19" s="48" t="n">
        <x:v>0.3170731707317073</x:v>
      </x:c>
      <x:c r="J19" s="130" t="n">
        <x:v>10.825950485546523</x:v>
      </x:c>
      <x:c r="K19" s="1"/>
    </x:row>
    <x:row r="20">
      <x:c r="A20" s="47" t="str">
        <x:v>RJ → SP</x:v>
      </x:c>
      <x:c r="B20" s="89" t="str">
        <x:v>RJ</x:v>
      </x:c>
      <x:c r="C20" s="89" t="str">
        <x:v>SP</x:v>
      </x:c>
      <x:c r="D20" s="92" t="n">
        <x:v>1299</x:v>
      </x:c>
      <x:c r="E20" s="92" t="n">
        <x:v>103</x:v>
      </x:c>
      <x:c r="F20" s="48" t="n">
        <x:v>0.9207082371054658</x:v>
      </x:c>
      <x:c r="G20" s="48" t="n">
        <x:v>0.07929176289453425</x:v>
      </x:c>
      <x:c r="H20" s="92" t="n">
        <x:v>14.016555491359838</x:v>
      </x:c>
      <x:c r="I20" s="48" t="n">
        <x:v>0.08622016936104696</x:v>
      </x:c>
      <x:c r="J20" s="130" t="n">
        <x:v>9.05785350376358</x:v>
      </x:c>
      <x:c r="K20" s="1"/>
    </x:row>
    <x:row r="21">
      <x:c r="A21" s="47" t="str">
        <x:v>SP → PB</x:v>
      </x:c>
      <x:c r="B21" s="89" t="str">
        <x:v>SP</x:v>
      </x:c>
      <x:c r="C21" s="89" t="str">
        <x:v>PB</x:v>
      </x:c>
      <x:c r="D21" s="92" t="n">
        <x:v>333</x:v>
      </x:c>
      <x:c r="E21" s="92" t="n">
        <x:v>35</x:v>
      </x:c>
      <x:c r="F21" s="48" t="n">
        <x:v>0.8948948948948949</x:v>
      </x:c>
      <x:c r="G21" s="48" t="n">
        <x:v>0.10510510510510511</x:v>
      </x:c>
      <x:c r="H21" s="92" t="n">
        <x:v>12.189001523189244</x:v>
      </x:c>
      <x:c r="I21" s="48" t="n">
        <x:v>0.10510510510510511</x:v>
      </x:c>
      <x:c r="J21" s="130" t="n">
        <x:v>17.1151350308642</x:v>
      </x:c>
      <x:c r="K21" s="1"/>
    </x:row>
    <x:row r="22">
      <x:c r="A22" s="47" t="str">
        <x:v>PR → BA</x:v>
      </x:c>
      <x:c r="B22" s="89" t="str">
        <x:v>PR</x:v>
      </x:c>
      <x:c r="C22" s="89" t="str">
        <x:v>BA</x:v>
      </x:c>
      <x:c r="D22" s="92" t="n">
        <x:v>143</x:v>
      </x:c>
      <x:c r="E22" s="92" t="n">
        <x:v>21</x:v>
      </x:c>
      <x:c r="F22" s="48" t="n">
        <x:v>0.8531468531468531</x:v>
      </x:c>
      <x:c r="G22" s="48" t="n">
        <x:v>0.14685314685314685</x:v>
      </x:c>
      <x:c r="H22" s="92" t="n">
        <x:v>11.204285939387573</x:v>
      </x:c>
      <x:c r="I22" s="48" t="n">
        <x:v>0.14685314685314685</x:v>
      </x:c>
      <x:c r="J22" s="130" t="n">
        <x:v>17.763000922688423</x:v>
      </x:c>
      <x:c r="K22" s="1"/>
    </x:row>
    <x:row r="23">
      <x:c r="A23" s="47" t="str">
        <x:v>MG → BA</x:v>
      </x:c>
      <x:c r="B23" s="89" t="str">
        <x:v>MG</x:v>
      </x:c>
      <x:c r="C23" s="89" t="str">
        <x:v>BA</x:v>
      </x:c>
      <x:c r="D23" s="92" t="n">
        <x:v>362</x:v>
      </x:c>
      <x:c r="E23" s="92" t="n">
        <x:v>36</x:v>
      </x:c>
      <x:c r="F23" s="48" t="n">
        <x:v>0.9005524861878453</x:v>
      </x:c>
      <x:c r="G23" s="48" t="n">
        <x:v>0.09944751381215469</x:v>
      </x:c>
      <x:c r="H23" s="92" t="n">
        <x:v>11.202458112295815</x:v>
      </x:c>
      <x:c r="I23" s="48" t="n">
        <x:v>0.0718232044198895</x:v>
      </x:c>
      <x:c r="J23" s="130" t="n">
        <x:v>15.386762072846327</x:v>
      </x:c>
      <x:c r="K23" s="1"/>
    </x:row>
    <x:row r="24">
      <x:c r="A24" s="47" t="str">
        <x:v>SC → RJ</x:v>
      </x:c>
      <x:c r="B24" s="89" t="str">
        <x:v>SC</x:v>
      </x:c>
      <x:c r="C24" s="89" t="str">
        <x:v>RJ</x:v>
      </x:c>
      <x:c r="D24" s="92" t="n">
        <x:v>465</x:v>
      </x:c>
      <x:c r="E24" s="92" t="n">
        <x:v>43</x:v>
      </x:c>
      <x:c r="F24" s="48" t="n">
        <x:v>0.9075268817204301</x:v>
      </x:c>
      <x:c r="G24" s="48" t="n">
        <x:v>0.09247311827956989</x:v>
      </x:c>
      <x:c r="H24" s="92" t="n">
        <x:v>11.146803928777771</x:v>
      </x:c>
      <x:c r="I24" s="48" t="n">
        <x:v>0.08172043010752689</x:v>
      </x:c>
      <x:c r="J24" s="130" t="n">
        <x:v>13.281782158502589</x:v>
      </x:c>
      <x:c r="K24" s="1"/>
    </x:row>
    <x:row r="25">
      <x:c r="A25" s="47" t="str">
        <x:v>SP → GO</x:v>
      </x:c>
      <x:c r="B25" s="89" t="str">
        <x:v>SP</x:v>
      </x:c>
      <x:c r="C25" s="89" t="str">
        <x:v>GO</x:v>
      </x:c>
      <x:c r="D25" s="92" t="n">
        <x:v>1394</x:v>
      </x:c>
      <x:c r="E25" s="92" t="n">
        <x:v>106</x:v>
      </x:c>
      <x:c r="F25" s="48" t="n">
        <x:v>0.9239598278335724</x:v>
      </x:c>
      <x:c r="G25" s="48" t="n">
        <x:v>0.07604017216642754</x:v>
      </x:c>
      <x:c r="H25" s="92" t="n">
        <x:v>10.508913283260682</x:v>
      </x:c>
      <x:c r="I25" s="48" t="n">
        <x:v>0.07747489239598278</x:v>
      </x:c>
      <x:c r="J25" s="130" t="n">
        <x:v>12.871205214809502</x:v>
      </x:c>
      <x:c r="K25" s="1"/>
    </x:row>
    <x:row r="26">
      <x:c r="A26" s="47" t="str">
        <x:v>SP → RN</x:v>
      </x:c>
      <x:c r="B26" s="89" t="str">
        <x:v>SP</x:v>
      </x:c>
      <x:c r="C26" s="89" t="str">
        <x:v>RN</x:v>
      </x:c>
      <x:c r="D26" s="92" t="n">
        <x:v>330</x:v>
      </x:c>
      <x:c r="E26" s="92" t="n">
        <x:v>33</x:v>
      </x:c>
      <x:c r="F26" s="48" t="n">
        <x:v>0.9</x:v>
      </x:c>
      <x:c r="G26" s="48" t="n">
        <x:v>0.1</x:v>
      </x:c>
      <x:c r="H26" s="92" t="n">
        <x:v>10.394506013971323</x:v>
      </x:c>
      <x:c r="I26" s="48" t="n">
        <x:v>0.09090909090909091</x:v>
      </x:c>
      <x:c r="J26" s="130" t="n">
        <x:v>16.990777567340068</x:v>
      </x:c>
      <x:c r="K26" s="1"/>
    </x:row>
    <x:row r="27">
      <x:c r="A27" s="47" t="str">
        <x:v>PR → AL</x:v>
      </x:c>
      <x:c r="B27" s="89" t="str">
        <x:v>PR</x:v>
      </x:c>
      <x:c r="C27" s="89" t="str">
        <x:v>AL</x:v>
      </x:c>
      <x:c r="D27" s="92" t="n">
        <x:v>35</x:v>
      </x:c>
      <x:c r="E27" s="92" t="n">
        <x:v>11</x:v>
      </x:c>
      <x:c r="F27" s="48" t="n">
        <x:v>0.6857142857142857</x:v>
      </x:c>
      <x:c r="G27" s="48" t="n">
        <x:v>0.3142857142857143</x:v>
      </x:c>
      <x:c r="H27" s="92" t="n">
        <x:v>8.602447607542413</x:v>
      </x:c>
      <x:c r="I27" s="48" t="n">
        <x:v>0.14285714285714285</x:v>
      </x:c>
      <x:c r="J27" s="130" t="n">
        <x:v>25.64673082010582</x:v>
      </x:c>
      <x:c r="K27" s="1"/>
    </x:row>
    <x:row r="28">
      <x:c r="A28" s="47" t="str">
        <x:v>SP → TO</x:v>
      </x:c>
      <x:c r="B28" s="89" t="str">
        <x:v>SP</x:v>
      </x:c>
      <x:c r="C28" s="89" t="str">
        <x:v>TO</x:v>
      </x:c>
      <x:c r="D28" s="92" t="n">
        <x:v>191</x:v>
      </x:c>
      <x:c r="E28" s="92" t="n">
        <x:v>21</x:v>
      </x:c>
      <x:c r="F28" s="48" t="n">
        <x:v>0.8900523560209423</x:v>
      </x:c>
      <x:c r="G28" s="48" t="n">
        <x:v>0.1099476439790576</x:v>
      </x:c>
      <x:c r="H28" s="92" t="n">
        <x:v>7.9162140868743105</x:v>
      </x:c>
      <x:c r="I28" s="48" t="n">
        <x:v>0.09424083769633508</x:v>
      </x:c>
      <x:c r="J28" s="130" t="n">
        <x:v>14.433329758095793</x:v>
      </x:c>
      <x:c r="K28" s="1"/>
    </x:row>
    <x:row r="29">
      <x:c r="A29" s="47" t="str">
        <x:v>RJ → CE</x:v>
      </x:c>
      <x:c r="B29" s="89" t="str">
        <x:v>RJ</x:v>
      </x:c>
      <x:c r="C29" s="89" t="str">
        <x:v>CE</x:v>
      </x:c>
      <x:c r="D29" s="92" t="n">
        <x:v>54</x:v>
      </x:c>
      <x:c r="E29" s="92" t="n">
        <x:v>11</x:v>
      </x:c>
      <x:c r="F29" s="48" t="n">
        <x:v>0.7962962962962963</x:v>
      </x:c>
      <x:c r="G29" s="48" t="n">
        <x:v>0.2037037037037037</x:v>
      </x:c>
      <x:c r="H29" s="92" t="n">
        <x:v>7.30091916592258</x:v>
      </x:c>
      <x:c r="I29" s="48" t="n">
        <x:v>0.1111111111111111</x:v>
      </x:c>
      <x:c r="J29" s="130" t="n">
        <x:v>21.534854038065845</x:v>
      </x:c>
      <x:c r="K29" s="1"/>
    </x:row>
    <x:row r="30">
      <x:c r="A30" s="47" t="str">
        <x:v>RJ → BA</x:v>
      </x:c>
      <x:c r="B30" s="89" t="str">
        <x:v>RJ</x:v>
      </x:c>
      <x:c r="C30" s="89" t="str">
        <x:v>BA</x:v>
      </x:c>
      <x:c r="D30" s="92" t="n">
        <x:v>135</x:v>
      </x:c>
      <x:c r="E30" s="92" t="n">
        <x:v>15</x:v>
      </x:c>
      <x:c r="F30" s="48" t="n">
        <x:v>0.8888888888888888</x:v>
      </x:c>
      <x:c r="G30" s="48" t="n">
        <x:v>0.1111111111111111</x:v>
      </x:c>
      <x:c r="H30" s="92" t="n">
        <x:v>5.75229791480645</x:v>
      </x:c>
      <x:c r="I30" s="48" t="n">
        <x:v>0.05925925925925926</x:v>
      </x:c>
      <x:c r="J30" s="130" t="n">
        <x:v>14.231519975994512</x:v>
      </x:c>
      <x:c r="K30" s="1"/>
    </x:row>
    <x:row r="31">
      <x:c r="A31" s="47" t="str">
        <x:v>MG → MA</x:v>
      </x:c>
      <x:c r="B31" s="89" t="str">
        <x:v>MG</x:v>
      </x:c>
      <x:c r="C31" s="89" t="str">
        <x:v>MA</x:v>
      </x:c>
      <x:c r="D31" s="92" t="n">
        <x:v>60</x:v>
      </x:c>
      <x:c r="E31" s="92" t="n">
        <x:v>9</x:v>
      </x:c>
      <x:c r="F31" s="48" t="n">
        <x:v>0.85</x:v>
      </x:c>
      <x:c r="G31" s="48" t="n">
        <x:v>0.15</x:v>
      </x:c>
      <x:c r="H31" s="92" t="n">
        <x:v>4.889910184358422</x:v>
      </x:c>
      <x:c r="I31" s="48" t="n">
        <x:v>0.08333333333333333</x:v>
      </x:c>
      <x:c r="J31" s="130" t="n">
        <x:v>16.669783179012345</x:v>
      </x:c>
      <x:c r="K31" s="1"/>
    </x:row>
    <x:row r="32">
      <x:c r="A32" s="47" t="str">
        <x:v>PR → CE</x:v>
      </x:c>
      <x:c r="B32" s="89" t="str">
        <x:v>PR</x:v>
      </x:c>
      <x:c r="C32" s="89" t="str">
        <x:v>CE</x:v>
      </x:c>
      <x:c r="D32" s="92" t="n">
        <x:v>63</x:v>
      </x:c>
      <x:c r="E32" s="92" t="n">
        <x:v>9</x:v>
      </x:c>
      <x:c r="F32" s="48" t="n">
        <x:v>0.8571428571428572</x:v>
      </x:c>
      <x:c r="G32" s="48" t="n">
        <x:v>0.14285714285714285</x:v>
      </x:c>
      <x:c r="H32" s="92" t="n">
        <x:v>4.684405693576343</x:v>
      </x:c>
      <x:c r="I32" s="48" t="n">
        <x:v>0.047619047619047616</x:v>
      </x:c>
      <x:c r="J32" s="130" t="n">
        <x:v>22.480376984126984</x:v>
      </x:c>
      <x:c r="K32" s="1"/>
    </x:row>
    <x:row r="33">
      <x:c r="A33" s="47" t="str">
        <x:v>PR → MA</x:v>
      </x:c>
      <x:c r="B33" s="89" t="str">
        <x:v>PR</x:v>
      </x:c>
      <x:c r="C33" s="89" t="str">
        <x:v>MA</x:v>
      </x:c>
      <x:c r="D33" s="92" t="n">
        <x:v>40</x:v>
      </x:c>
      <x:c r="E33" s="92" t="n">
        <x:v>7</x:v>
      </x:c>
      <x:c r="F33" s="48" t="n">
        <x:v>0.825</x:v>
      </x:c>
      <x:c r="G33" s="48" t="n">
        <x:v>0.175</x:v>
      </x:c>
      <x:c r="H33" s="92" t="n">
        <x:v>4.259940122905615</x:v>
      </x:c>
      <x:c r="I33" s="48" t="n">
        <x:v>0.1</x:v>
      </x:c>
      <x:c r="J33" s="130" t="n">
        <x:v>18.118152199074075</x:v>
      </x:c>
      <x:c r="K33" s="1"/>
    </x:row>
    <x:row r="34">
      <x:c r="A34" s="47" t="str">
        <x:v>MG → CE</x:v>
      </x:c>
      <x:c r="B34" s="89" t="str">
        <x:v>MG</x:v>
      </x:c>
      <x:c r="C34" s="89" t="str">
        <x:v>CE</x:v>
      </x:c>
      <x:c r="D34" s="92" t="n">
        <x:v>73</x:v>
      </x:c>
      <x:c r="E34" s="92" t="n">
        <x:v>9</x:v>
      </x:c>
      <x:c r="F34" s="48" t="n">
        <x:v>0.8767123287671232</x:v>
      </x:c>
      <x:c r="G34" s="48" t="n">
        <x:v>0.1232876712328767</x:v>
      </x:c>
      <x:c r="H34" s="92" t="n">
        <x:v>3.9993907243027476</x:v>
      </x:c>
      <x:c r="I34" s="48" t="n">
        <x:v>0.0821917808219178</x:v>
      </x:c>
      <x:c r="J34" s="130" t="n">
        <x:v>17.23612839294774</x:v>
      </x:c>
      <x:c r="K34" s="1"/>
    </x:row>
    <x:row r="35">
      <x:c r="A35" s="47" t="str">
        <x:v>SC → BA</x:v>
      </x:c>
      <x:c r="B35" s="89" t="str">
        <x:v>SC</x:v>
      </x:c>
      <x:c r="C35" s="89" t="str">
        <x:v>BA</x:v>
      </x:c>
      <x:c r="D35" s="92" t="n">
        <x:v>76</x:v>
      </x:c>
      <x:c r="E35" s="92" t="n">
        <x:v>9</x:v>
      </x:c>
      <x:c r="F35" s="48" t="n">
        <x:v>0.881578947368421</x:v>
      </x:c>
      <x:c r="G35" s="48" t="n">
        <x:v>0.11842105263157894</x:v>
      </x:c>
      <x:c r="H35" s="92" t="n">
        <x:v>3.7938862335206682</x:v>
      </x:c>
      <x:c r="I35" s="48" t="n">
        <x:v>0.06578947368421052</x:v>
      </x:c>
      <x:c r="J35" s="130" t="n">
        <x:v>18.316020193713452</x:v>
      </x:c>
      <x:c r="K35" s="1"/>
    </x:row>
    <x:row r="36">
      <x:c r="A36" s="47" t="str">
        <x:v>MG → AL</x:v>
      </x:c>
      <x:c r="B36" s="89" t="str">
        <x:v>MG</x:v>
      </x:c>
      <x:c r="C36" s="89" t="str">
        <x:v>AL</x:v>
      </x:c>
      <x:c r="D36" s="92" t="n">
        <x:v>35</x:v>
      </x:c>
      <x:c r="E36" s="92" t="n">
        <x:v>6</x:v>
      </x:c>
      <x:c r="F36" s="48" t="n">
        <x:v>0.8285714285714285</x:v>
      </x:c>
      <x:c r="G36" s="48" t="n">
        <x:v>0.17142857142857143</x:v>
      </x:c>
      <x:c r="H36" s="92" t="n">
        <x:v>3.602447607542413</x:v>
      </x:c>
      <x:c r="I36" s="48" t="n">
        <x:v>0.11428571428571428</x:v>
      </x:c>
      <x:c r="J36" s="130" t="n">
        <x:v>18.662001322751323</x:v>
      </x:c>
      <x:c r="K36" s="1"/>
    </x:row>
    <x:row r="37">
      <x:c r="A37" s="47" t="str">
        <x:v>RJ → RS</x:v>
      </x:c>
      <x:c r="B37" s="89" t="str">
        <x:v>RJ</x:v>
      </x:c>
      <x:c r="C37" s="89" t="str">
        <x:v>RS</x:v>
      </x:c>
      <x:c r="D37" s="92" t="n">
        <x:v>196</x:v>
      </x:c>
      <x:c r="E37" s="92" t="n">
        <x:v>17</x:v>
      </x:c>
      <x:c r="F37" s="48" t="n">
        <x:v>0.9132653061224489</x:v>
      </x:c>
      <x:c r="G37" s="48" t="n">
        <x:v>0.08673469387755102</x:v>
      </x:c>
      <x:c r="H37" s="92" t="n">
        <x:v>3.573706602237513</x:v>
      </x:c>
      <x:c r="I37" s="48" t="n">
        <x:v>0.07653061224489796</x:v>
      </x:c>
      <x:c r="J37" s="130" t="n">
        <x:v>12.793778226568405</x:v>
      </x:c>
      <x:c r="K37" s="1"/>
    </x:row>
    <x:row r="38">
      <x:c r="A38" s="47" t="str">
        <x:v>RJ → SC</x:v>
      </x:c>
      <x:c r="B38" s="89" t="str">
        <x:v>RJ</x:v>
      </x:c>
      <x:c r="C38" s="89" t="str">
        <x:v>SC</x:v>
      </x:c>
      <x:c r="D38" s="92" t="n">
        <x:v>110</x:v>
      </x:c>
      <x:c r="E38" s="92" t="n">
        <x:v>11</x:v>
      </x:c>
      <x:c r="F38" s="48" t="n">
        <x:v>0.9</x:v>
      </x:c>
      <x:c r="G38" s="48" t="n">
        <x:v>0.1</x:v>
      </x:c>
      <x:c r="H38" s="92" t="n">
        <x:v>3.464835337990441</x:v>
      </x:c>
      <x:c r="I38" s="48" t="n">
        <x:v>0.07272727272727272</x:v>
      </x:c>
      <x:c r="J38" s="130" t="n">
        <x:v>12.069041035353536</x:v>
      </x:c>
      <x:c r="K38" s="1"/>
    </x:row>
    <x:row r="39">
      <x:c r="A39" s="47" t="str">
        <x:v>MG → PA</x:v>
      </x:c>
      <x:c r="B39" s="89" t="str">
        <x:v>MG</x:v>
      </x:c>
      <x:c r="C39" s="89" t="str">
        <x:v>PA</x:v>
      </x:c>
      <x:c r="D39" s="92" t="n">
        <x:v>83</x:v>
      </x:c>
      <x:c r="E39" s="92" t="n">
        <x:v>9</x:v>
      </x:c>
      <x:c r="F39" s="48" t="n">
        <x:v>0.891566265060241</x:v>
      </x:c>
      <x:c r="G39" s="48" t="n">
        <x:v>0.10843373493975904</x:v>
      </x:c>
      <x:c r="H39" s="92" t="n">
        <x:v>3.3143757550291504</x:v>
      </x:c>
      <x:c r="I39" s="48" t="n">
        <x:v>0.13253012048192772</x:v>
      </x:c>
      <x:c r="J39" s="130" t="n">
        <x:v>22.995541610887997</x:v>
      </x:c>
      <x:c r="K39" s="1"/>
    </x:row>
    <x:row r="40">
      <x:c r="A40" s="47" t="str">
        <x:v>RJ → PR</x:v>
      </x:c>
      <x:c r="B40" s="89" t="str">
        <x:v>RJ</x:v>
      </x:c>
      <x:c r="C40" s="89" t="str">
        <x:v>PR</x:v>
      </x:c>
      <x:c r="D40" s="92" t="n">
        <x:v>200</x:v>
      </x:c>
      <x:c r="E40" s="92" t="n">
        <x:v>17</x:v>
      </x:c>
      <x:c r="F40" s="48" t="n">
        <x:v>0.915</x:v>
      </x:c>
      <x:c r="G40" s="48" t="n">
        <x:v>0.085</x:v>
      </x:c>
      <x:c r="H40" s="92" t="n">
        <x:v>3.2997006145280743</x:v>
      </x:c>
      <x:c r="I40" s="48" t="n">
        <x:v>0.065</x:v>
      </x:c>
      <x:c r="J40" s="130" t="n">
        <x:v>10.191203645833333</x:v>
      </x:c>
      <x:c r="K40" s="1"/>
    </x:row>
    <x:row r="41">
      <x:c r="A41" s="47" t="str">
        <x:v>RS → BA</x:v>
      </x:c>
      <x:c r="B41" s="89" t="str">
        <x:v>RS</x:v>
      </x:c>
      <x:c r="C41" s="89" t="str">
        <x:v>BA</x:v>
      </x:c>
      <x:c r="D41" s="92" t="n">
        <x:v>42</x:v>
      </x:c>
      <x:c r="E41" s="92" t="n">
        <x:v>6</x:v>
      </x:c>
      <x:c r="F41" s="48" t="n">
        <x:v>0.8571428571428572</x:v>
      </x:c>
      <x:c r="G41" s="48" t="n">
        <x:v>0.14285714285714285</x:v>
      </x:c>
      <x:c r="H41" s="92" t="n">
        <x:v>3.1229371290508956</x:v>
      </x:c>
      <x:c r="I41" s="48" t="n">
        <x:v>0.07142857142857142</x:v>
      </x:c>
      <x:c r="J41" s="130" t="n">
        <x:v>17.30822558421517</x:v>
      </x:c>
      <x:c r="K41" s="1"/>
    </x:row>
    <x:row r="42">
      <x:c r="A42" s="47" t="str">
        <x:v>PR → PE</x:v>
      </x:c>
      <x:c r="B42" s="89" t="str">
        <x:v>PR</x:v>
      </x:c>
      <x:c r="C42" s="89" t="str">
        <x:v>PE</x:v>
      </x:c>
      <x:c r="D42" s="92" t="n">
        <x:v>86</x:v>
      </x:c>
      <x:c r="E42" s="92" t="n">
        <x:v>9</x:v>
      </x:c>
      <x:c r="F42" s="48" t="n">
        <x:v>0.8953488372093024</x:v>
      </x:c>
      <x:c r="G42" s="48" t="n">
        <x:v>0.10465116279069768</x:v>
      </x:c>
      <x:c r="H42" s="92" t="n">
        <x:v>3.108871264247072</x:v>
      </x:c>
      <x:c r="I42" s="48" t="n">
        <x:v>0.11627906976744186</x:v>
      </x:c>
      <x:c r="J42" s="130" t="n">
        <x:v>16.01623950258398</x:v>
      </x:c>
      <x:c r="K42" s="1"/>
    </x:row>
    <x:row r="43">
      <x:c r="A43" s="47" t="str">
        <x:v>RJ → PE</x:v>
      </x:c>
      <x:c r="B43" s="89" t="str">
        <x:v>RJ</x:v>
      </x:c>
      <x:c r="C43" s="89" t="str">
        <x:v>PE</x:v>
      </x:c>
      <x:c r="D43" s="92" t="n">
        <x:v>91</x:v>
      </x:c>
      <x:c r="E43" s="92" t="n">
        <x:v>9</x:v>
      </x:c>
      <x:c r="F43" s="48" t="n">
        <x:v>0.9010989010989011</x:v>
      </x:c>
      <x:c r="G43" s="48" t="n">
        <x:v>0.0989010989010989</x:v>
      </x:c>
      <x:c r="H43" s="92" t="n">
        <x:v>2.7663637796102734</x:v>
      </x:c>
      <x:c r="I43" s="48" t="n">
        <x:v>0.0989010989010989</x:v>
      </x:c>
      <x:c r="J43" s="130" t="n">
        <x:v>13.799589947089945</x:v>
      </x:c>
      <x:c r="K43" s="1"/>
    </x:row>
    <x:row r="44">
      <x:c r="A44" s="47" t="str">
        <x:v>SP → RR</x:v>
      </x:c>
      <x:c r="B44" s="89" t="str">
        <x:v>SP</x:v>
      </x:c>
      <x:c r="C44" s="89" t="str">
        <x:v>RR</x:v>
      </x:c>
      <x:c r="D44" s="92" t="n">
        <x:v>33</x:v>
      </x:c>
      <x:c r="E44" s="92" t="n">
        <x:v>5</x:v>
      </x:c>
      <x:c r="F44" s="48" t="n">
        <x:v>0.8484848484848485</x:v>
      </x:c>
      <x:c r="G44" s="48" t="n">
        <x:v>0.15151515151515152</x:v>
      </x:c>
      <x:c r="H44" s="92" t="n">
        <x:v>2.7394506013971323</x:v>
      </x:c>
      <x:c r="I44" s="48" t="n">
        <x:v>0.09090909090909091</x:v>
      </x:c>
      <x:c r="J44" s="130" t="n">
        <x:v>27.48308782267116</x:v>
      </x:c>
      <x:c r="K44" s="1"/>
    </x:row>
    <x:row r="45">
      <x:c r="A45" s="47" t="str">
        <x:v>MG → PB</x:v>
      </x:c>
      <x:c r="B45" s="89" t="str">
        <x:v>MG</x:v>
      </x:c>
      <x:c r="C45" s="89" t="str">
        <x:v>PB</x:v>
      </x:c>
      <x:c r="D45" s="92" t="n">
        <x:v>48</x:v>
      </x:c>
      <x:c r="E45" s="92" t="n">
        <x:v>6</x:v>
      </x:c>
      <x:c r="F45" s="48" t="n">
        <x:v>0.875</x:v>
      </x:c>
      <x:c r="G45" s="48" t="n">
        <x:v>0.125</x:v>
      </x:c>
      <x:c r="H45" s="92" t="n">
        <x:v>2.711928147486738</x:v>
      </x:c>
      <x:c r="I45" s="48" t="n">
        <x:v>0.08333333333333333</x:v>
      </x:c>
      <x:c r="J45" s="130" t="n">
        <x:v>16.081279176311728</x:v>
      </x:c>
      <x:c r="K45" s="1"/>
    </x:row>
    <x:row r="46">
      <x:c r="A46" s="47" t="str">
        <x:v>PR → PA</x:v>
      </x:c>
      <x:c r="B46" s="89" t="str">
        <x:v>PR</x:v>
      </x:c>
      <x:c r="C46" s="89" t="str">
        <x:v>PA</x:v>
      </x:c>
      <x:c r="D46" s="92" t="n">
        <x:v>53</x:v>
      </x:c>
      <x:c r="E46" s="92" t="n">
        <x:v>6</x:v>
      </x:c>
      <x:c r="F46" s="48" t="n">
        <x:v>0.8867924528301887</x:v>
      </x:c>
      <x:c r="G46" s="48" t="n">
        <x:v>0.11320754716981132</x:v>
      </x:c>
      <x:c r="H46" s="92" t="n">
        <x:v>2.3694206628499397</x:v>
      </x:c>
      <x:c r="I46" s="48" t="n">
        <x:v>0.09433962264150944</x:v>
      </x:c>
      <x:c r="J46" s="130" t="n">
        <x:v>20.99565426275332</x:v>
      </x:c>
      <x:c r="K46" s="1"/>
    </x:row>
    <x:row r="47">
      <x:c r="A47" s="47" t="str">
        <x:v>PR → PB</x:v>
      </x:c>
      <x:c r="B47" s="89" t="str">
        <x:v>PR</x:v>
      </x:c>
      <x:c r="C47" s="89" t="str">
        <x:v>PB</x:v>
      </x:c>
      <x:c r="D47" s="92" t="n">
        <x:v>40</x:v>
      </x:c>
      <x:c r="E47" s="92" t="n">
        <x:v>5</x:v>
      </x:c>
      <x:c r="F47" s="48" t="n">
        <x:v>0.875</x:v>
      </x:c>
      <x:c r="G47" s="48" t="n">
        <x:v>0.125</x:v>
      </x:c>
      <x:c r="H47" s="92" t="n">
        <x:v>2.259940122905615</x:v>
      </x:c>
      <x:c r="I47" s="48" t="n">
        <x:v>0.1</x:v>
      </x:c>
      <x:c r="J47" s="130" t="n">
        <x:v>18.506712673611112</x:v>
      </x:c>
      <x:c r="K47" s="1"/>
    </x:row>
    <x:row r="48">
      <x:c r="A48" s="47" t="str">
        <x:v>MA → MG</x:v>
      </x:c>
      <x:c r="B48" s="89" t="str">
        <x:v>MA</x:v>
      </x:c>
      <x:c r="C48" s="89" t="str">
        <x:v>MG</x:v>
      </x:c>
      <x:c r="D48" s="92" t="n">
        <x:v>31</x:v>
      </x:c>
      <x:c r="E48" s="92" t="n">
        <x:v>4</x:v>
      </x:c>
      <x:c r="F48" s="48" t="n">
        <x:v>0.8709677419354839</x:v>
      </x:c>
      <x:c r="G48" s="48" t="n">
        <x:v>0.12903225806451613</x:v>
      </x:c>
      <x:c r="H48" s="92" t="n">
        <x:v>1.8764535952518515</x:v>
      </x:c>
      <x:c r="I48" s="48" t="n">
        <x:v>0.2903225806451613</x:v>
      </x:c>
      <x:c r="J48" s="130" t="n">
        <x:v>13.202214755077659</x:v>
      </x:c>
      <x:c r="K48" s="1"/>
    </x:row>
    <x:row r="49">
      <x:c r="A49" s="47" t="str">
        <x:v>PR → ES</x:v>
      </x:c>
      <x:c r="B49" s="89" t="str">
        <x:v>PR</x:v>
      </x:c>
      <x:c r="C49" s="89" t="str">
        <x:v>ES</x:v>
      </x:c>
      <x:c r="D49" s="92" t="n">
        <x:v>106</x:v>
      </x:c>
      <x:c r="E49" s="92" t="n">
        <x:v>9</x:v>
      </x:c>
      <x:c r="F49" s="48" t="n">
        <x:v>0.9150943396226415</x:v>
      </x:c>
      <x:c r="G49" s="48" t="n">
        <x:v>0.08490566037735849</x:v>
      </x:c>
      <x:c r="H49" s="92" t="n">
        <x:v>1.7388413256998794</x:v>
      </x:c>
      <x:c r="I49" s="48" t="n">
        <x:v>0.14150943396226415</x:v>
      </x:c>
      <x:c r="J49" s="130" t="n">
        <x:v>14.233245763452132</x:v>
      </x:c>
      <x:c r="K49" s="1"/>
    </x:row>
    <x:row r="50">
      <x:c r="A50" s="47" t="str">
        <x:v>MG → SE</x:v>
      </x:c>
      <x:c r="B50" s="89" t="str">
        <x:v>MG</x:v>
      </x:c>
      <x:c r="C50" s="89" t="str">
        <x:v>SE</x:v>
      </x:c>
      <x:c r="D50" s="92" t="n">
        <x:v>36</x:v>
      </x:c>
      <x:c r="E50" s="92" t="n">
        <x:v>4</x:v>
      </x:c>
      <x:c r="F50" s="48" t="n">
        <x:v>0.8888888888888888</x:v>
      </x:c>
      <x:c r="G50" s="48" t="n">
        <x:v>0.1111111111111111</x:v>
      </x:c>
      <x:c r="H50" s="92" t="n">
        <x:v>1.5339461106150534</x:v>
      </x:c>
      <x:c r="I50" s="48" t="n">
        <x:v>0.1111111111111111</x:v>
      </x:c>
      <x:c r="J50" s="130" t="n">
        <x:v>20.947790316358024</x:v>
      </x:c>
      <x:c r="K50" s="1"/>
    </x:row>
    <x:row r="51">
      <x:c r="A51" s="47" t="str">
        <x:v>RJ → DF</x:v>
      </x:c>
      <x:c r="B51" s="89" t="str">
        <x:v>RJ</x:v>
      </x:c>
      <x:c r="C51" s="89" t="str">
        <x:v>DF</x:v>
      </x:c>
      <x:c r="D51" s="92" t="n">
        <x:v>96</x:v>
      </x:c>
      <x:c r="E51" s="92" t="n">
        <x:v>8</x:v>
      </x:c>
      <x:c r="F51" s="48" t="n">
        <x:v>0.9166666666666666</x:v>
      </x:c>
      <x:c r="G51" s="48" t="n">
        <x:v>0.08333333333333333</x:v>
      </x:c>
      <x:c r="H51" s="92" t="n">
        <x:v>1.4238562949734757</x:v>
      </x:c>
      <x:c r="I51" s="48" t="n">
        <x:v>0.052083333333333336</x:v>
      </x:c>
      <x:c r="J51" s="130" t="n">
        <x:v>11.684866657021606</x:v>
      </x:c>
      <x:c r="K51" s="1"/>
    </x:row>
    <x:row r="52">
      <x:c r="A52" s="47" t="str">
        <x:v>ES → SP</x:v>
      </x:c>
      <x:c r="B52" s="89" t="str">
        <x:v>ES</x:v>
      </x:c>
      <x:c r="C52" s="89" t="str">
        <x:v>SP</x:v>
      </x:c>
      <x:c r="D52" s="92" t="n">
        <x:v>100</x:v>
      </x:c>
      <x:c r="E52" s="92" t="n">
        <x:v>8</x:v>
      </x:c>
      <x:c r="F52" s="48" t="n">
        <x:v>0.92</x:v>
      </x:c>
      <x:c r="G52" s="48" t="n">
        <x:v>0.08</x:v>
      </x:c>
      <x:c r="H52" s="92" t="n">
        <x:v>1.1498503072640371</x:v>
      </x:c>
      <x:c r="I52" s="48" t="n">
        <x:v>0.04</x:v>
      </x:c>
      <x:c r="J52" s="130" t="n">
        <x:v>9.842241782407406</x:v>
      </x:c>
      <x:c r="K52" s="1"/>
    </x:row>
    <x:row r="53">
      <x:c r="A53" s="47" t="str">
        <x:v>ES → RJ</x:v>
      </x:c>
      <x:c r="B53" s="89" t="str">
        <x:v>ES</x:v>
      </x:c>
      <x:c r="C53" s="89" t="str">
        <x:v>RJ</x:v>
      </x:c>
      <x:c r="D53" s="92" t="n">
        <x:v>59</x:v>
      </x:c>
      <x:c r="E53" s="92" t="n">
        <x:v>5</x:v>
      </x:c>
      <x:c r="F53" s="48" t="n">
        <x:v>0.9152542372881356</x:v>
      </x:c>
      <x:c r="G53" s="48" t="n">
        <x:v>0.0847457627118644</x:v>
      </x:c>
      <x:c r="H53" s="92" t="n">
        <x:v>0.9584116812857815</x:v>
      </x:c>
      <x:c r="I53" s="48" t="n">
        <x:v>0.05084745762711865</x:v>
      </x:c>
      <x:c r="J53" s="130" t="n">
        <x:v>10.09503943032015</x:v>
      </x:c>
      <x:c r="K53" s="1"/>
    </x:row>
    <x:row r="54">
      <x:c r="A54" s="47" t="str">
        <x:v>RJ → MS</x:v>
      </x:c>
      <x:c r="B54" s="89" t="str">
        <x:v>RJ</x:v>
      </x:c>
      <x:c r="C54" s="89" t="str">
        <x:v>MS</x:v>
      </x:c>
      <x:c r="D54" s="92" t="n">
        <x:v>32</x:v>
      </x:c>
      <x:c r="E54" s="92" t="n">
        <x:v>3</x:v>
      </x:c>
      <x:c r="F54" s="48" t="n">
        <x:v>0.90625</x:v>
      </x:c>
      <x:c r="G54" s="48" t="n">
        <x:v>0.09375</x:v>
      </x:c>
      <x:c r="H54" s="92" t="n">
        <x:v>0.8079520983244919</x:v>
      </x:c>
      <x:c r="I54" s="48" t="n">
        <x:v>0.09375</x:v>
      </x:c>
      <x:c r="J54" s="130" t="n">
        <x:v>14.039148220486112</x:v>
      </x:c>
      <x:c r="K54" s="1"/>
    </x:row>
    <x:row r="55">
      <x:c r="A55" s="47" t="str">
        <x:v>MG → MT</x:v>
      </x:c>
      <x:c r="B55" s="89" t="str">
        <x:v>MG</x:v>
      </x:c>
      <x:c r="C55" s="89" t="str">
        <x:v>MT</x:v>
      </x:c>
      <x:c r="D55" s="92" t="n">
        <x:v>50</x:v>
      </x:c>
      <x:c r="E55" s="92" t="n">
        <x:v>4</x:v>
      </x:c>
      <x:c r="F55" s="48" t="n">
        <x:v>0.92</x:v>
      </x:c>
      <x:c r="G55" s="48" t="n">
        <x:v>0.08</x:v>
      </x:c>
      <x:c r="H55" s="92" t="n">
        <x:v>0.5749251536320186</x:v>
      </x:c>
      <x:c r="I55" s="48" t="n">
        <x:v>0.06</x:v>
      </x:c>
      <x:c r="J55" s="130" t="n">
        <x:v>18.155712037037038</x:v>
      </x:c>
      <x:c r="K55" s="1"/>
    </x:row>
    <x:row r="56">
      <x:c r="A56" s="47" t="str">
        <x:v>RS → RJ</x:v>
      </x:c>
      <x:c r="B56" s="89" t="str">
        <x:v>RS</x:v>
      </x:c>
      <x:c r="C56" s="89" t="str">
        <x:v>RJ</x:v>
      </x:c>
      <x:c r="D56" s="92" t="n">
        <x:v>240</x:v>
      </x:c>
      <x:c r="E56" s="92" t="n">
        <x:v>17</x:v>
      </x:c>
      <x:c r="F56" s="48" t="n">
        <x:v>0.9291666666666667</x:v>
      </x:c>
      <x:c r="G56" s="48" t="n">
        <x:v>0.07083333333333333</x:v>
      </x:c>
      <x:c r="H56" s="92" t="n">
        <x:v>0.5596407374336891</x:v>
      </x:c>
      <x:c r="I56" s="48" t="n">
        <x:v>0.10833333333333334</x:v>
      </x:c>
      <x:c r="J56" s="130" t="n">
        <x:v>10.399189091435185</x:v>
      </x:c>
      <x:c r="K56" s="1"/>
    </x:row>
    <x:row r="57">
      <x:c r="A57" s="47" t="str">
        <x:v>MG → PE</x:v>
      </x:c>
      <x:c r="B57" s="89" t="str">
        <x:v>MG</x:v>
      </x:c>
      <x:c r="C57" s="89" t="str">
        <x:v>PE</x:v>
      </x:c>
      <x:c r="D57" s="92" t="n">
        <x:v>109</x:v>
      </x:c>
      <x:c r="E57" s="92" t="n">
        <x:v>8</x:v>
      </x:c>
      <x:c r="F57" s="48" t="n">
        <x:v>0.926605504587156</x:v>
      </x:c>
      <x:c r="G57" s="48" t="n">
        <x:v>0.07339449541284404</x:v>
      </x:c>
      <x:c r="H57" s="92" t="n">
        <x:v>0.5333368349178009</x:v>
      </x:c>
      <x:c r="I57" s="48" t="n">
        <x:v>0.11009174311926606</x:v>
      </x:c>
      <x:c r="J57" s="130" t="n">
        <x:v>13.471995731396534</x:v>
      </x:c>
      <x:c r="K57" s="1"/>
    </x:row>
    <x:row r="58">
      <x:c r="A58" s="47" t="str">
        <x:v>BA → BA</x:v>
      </x:c>
      <x:c r="B58" s="89" t="str">
        <x:v>BA</x:v>
      </x:c>
      <x:c r="C58" s="89" t="str">
        <x:v>BA</x:v>
      </x:c>
      <x:c r="D58" s="92" t="n">
        <x:v>66</x:v>
      </x:c>
      <x:c r="E58" s="92" t="n">
        <x:v>5</x:v>
      </x:c>
      <x:c r="F58" s="48" t="n">
        <x:v>0.9242424242424242</x:v>
      </x:c>
      <x:c r="G58" s="48" t="n">
        <x:v>0.07575757575757576</x:v>
      </x:c>
      <x:c r="H58" s="92" t="n">
        <x:v>0.4789012027942645</x:v>
      </x:c>
      <x:c r="I58" s="48" t="n">
        <x:v>0.13636363636363635</x:v>
      </x:c>
      <x:c r="J58" s="130" t="n">
        <x:v>6.496007295173961</x:v>
      </x:c>
      <x:c r="K58" s="1"/>
    </x:row>
    <x:row r="59">
      <x:c r="A59" s="47" t="str">
        <x:v>DF → RJ</x:v>
      </x:c>
      <x:c r="B59" s="89" t="str">
        <x:v>DF</x:v>
      </x:c>
      <x:c r="C59" s="89" t="str">
        <x:v>RJ</x:v>
      </x:c>
      <x:c r="D59" s="92" t="n">
        <x:v>96</x:v>
      </x:c>
      <x:c r="E59" s="92" t="n">
        <x:v>7</x:v>
      </x:c>
      <x:c r="F59" s="48" t="n">
        <x:v>0.9270833333333334</x:v>
      </x:c>
      <x:c r="G59" s="48" t="n">
        <x:v>0.07291666666666667</x:v>
      </x:c>
      <x:c r="H59" s="92" t="n">
        <x:v>0.42385629497347566</x:v>
      </x:c>
      <x:c r="I59" s="48" t="n">
        <x:v>0.07291666666666667</x:v>
      </x:c>
      <x:c r="J59" s="130" t="n">
        <x:v>11.301177059220679</x:v>
      </x:c>
      <x:c r="K59" s="1"/>
    </x:row>
    <x:row r="60">
      <x:c r="A60" s="47" t="str">
        <x:v>PE → RJ</x:v>
      </x:c>
      <x:c r="B60" s="89" t="str">
        <x:v>PE</x:v>
      </x:c>
      <x:c r="C60" s="89" t="str">
        <x:v>RJ</x:v>
      </x:c>
      <x:c r="D60" s="92" t="n">
        <x:v>42</x:v>
      </x:c>
      <x:c r="E60" s="92" t="n">
        <x:v>3</x:v>
      </x:c>
      <x:c r="F60" s="48" t="n">
        <x:v>0.9285714285714286</x:v>
      </x:c>
      <x:c r="G60" s="48" t="n">
        <x:v>0.07142857142857142</x:v>
      </x:c>
      <x:c r="H60" s="92" t="n">
        <x:v>0.1229371290508956</x:v>
      </x:c>
      <x:c r="I60" s="48" t="n">
        <x:v>0.07142857142857142</x:v>
      </x:c>
      <x:c r="J60" s="130" t="n">
        <x:v>11.86692046957672</x:v>
      </x:c>
      <x:c r="K60" s="1"/>
    </x:row>
    <x:row r="61">
      <x:c r="A61" s="47" t="str">
        <x:v>SP → RS</x:v>
      </x:c>
      <x:c r="B61" s="89" t="str">
        <x:v>SP</x:v>
      </x:c>
      <x:c r="C61" s="89" t="str">
        <x:v>RS</x:v>
      </x:c>
      <x:c r="D61" s="92" t="n">
        <x:v>3540</x:v>
      </x:c>
      <x:c r="E61" s="92" t="n">
        <x:v>238</x:v>
      </x:c>
      <x:c r="F61" s="48" t="n">
        <x:v>0.9327683615819209</x:v>
      </x:c>
      <x:c r="G61" s="48" t="n">
        <x:v>0.0672316384180791</x:v>
      </x:c>
      <x:c r="H61" s="92" t="n">
        <x:v>0</x:v>
      </x:c>
      <x:c r="I61" s="48" t="n">
        <x:v>0.0788135593220339</x:v>
      </x:c>
      <x:c r="J61" s="130" t="n">
        <x:v>13.019833598163842</x:v>
      </x:c>
      <x:c r="K61" s="1"/>
    </x:row>
    <x:row r="62">
      <x:c r="A62" s="47" t="str">
        <x:v>SP → DF</x:v>
      </x:c>
      <x:c r="B62" s="89" t="str">
        <x:v>SP</x:v>
      </x:c>
      <x:c r="C62" s="89" t="str">
        <x:v>DF</x:v>
      </x:c>
      <x:c r="D62" s="92" t="n">
        <x:v>1365</x:v>
      </x:c>
      <x:c r="E62" s="92" t="n">
        <x:v>89</x:v>
      </x:c>
      <x:c r="F62" s="48" t="n">
        <x:v>0.9347985347985348</x:v>
      </x:c>
      <x:c r="G62" s="48" t="n">
        <x:v>0.0652014652014652</x:v>
      </x:c>
      <x:c r="H62" s="92" t="n">
        <x:v>0</x:v>
      </x:c>
      <x:c r="I62" s="48" t="n">
        <x:v>0.08937728937728938</x:v>
      </x:c>
      <x:c r="J62" s="130" t="n">
        <x:v>10.133614655406323</x:v>
      </x:c>
      <x:c r="K62" s="1"/>
    </x:row>
    <x:row r="63">
      <x:c r="A63" s="47" t="str">
        <x:v>MG → SC</x:v>
      </x:c>
      <x:c r="B63" s="89" t="str">
        <x:v>MG</x:v>
      </x:c>
      <x:c r="C63" s="89" t="str">
        <x:v>SC</x:v>
      </x:c>
      <x:c r="D63" s="92" t="n">
        <x:v>248</x:v>
      </x:c>
      <x:c r="E63" s="92" t="n">
        <x:v>16</x:v>
      </x:c>
      <x:c r="F63" s="48" t="n">
        <x:v>0.935483870967742</x:v>
      </x:c>
      <x:c r="G63" s="48" t="n">
        <x:v>0.06451612903225806</x:v>
      </x:c>
      <x:c r="H63" s="92" t="n">
        <x:v>0</x:v>
      </x:c>
      <x:c r="I63" s="48" t="n">
        <x:v>0.10080645161290322</x:v>
      </x:c>
      <x:c r="J63" s="130" t="n">
        <x:v>13.501541591995222</x:v>
      </x:c>
      <x:c r="K63" s="1"/>
    </x:row>
    <x:row r="64">
      <x:c r="A64" s="47" t="str">
        <x:v>BA → PE</x:v>
      </x:c>
      <x:c r="B64" s="89" t="str">
        <x:v>BA</x:v>
      </x:c>
      <x:c r="C64" s="89" t="str">
        <x:v>PE</x:v>
      </x:c>
      <x:c r="D64" s="92" t="n">
        <x:v>32</x:v>
      </x:c>
      <x:c r="E64" s="92" t="n">
        <x:v>2</x:v>
      </x:c>
      <x:c r="F64" s="48" t="n">
        <x:v>0.9375</x:v>
      </x:c>
      <x:c r="G64" s="48" t="n">
        <x:v>0.0625</x:v>
      </x:c>
      <x:c r="H64" s="92" t="n">
        <x:v>0</x:v>
      </x:c>
      <x:c r="I64" s="48" t="n">
        <x:v>0.0625</x:v>
      </x:c>
      <x:c r="J64" s="130" t="n">
        <x:v>13.488697554976852</x:v>
      </x:c>
      <x:c r="K64" s="1"/>
    </x:row>
    <x:row r="65">
      <x:c r="A65" s="47" t="str">
        <x:v>RJ → MG</x:v>
      </x:c>
      <x:c r="B65" s="89" t="str">
        <x:v>RJ</x:v>
      </x:c>
      <x:c r="C65" s="89" t="str">
        <x:v>MG</x:v>
      </x:c>
      <x:c r="D65" s="92" t="n">
        <x:v>547</x:v>
      </x:c>
      <x:c r="E65" s="92" t="n">
        <x:v>33</x:v>
      </x:c>
      <x:c r="F65" s="48" t="n">
        <x:v>0.9396709323583181</x:v>
      </x:c>
      <x:c r="G65" s="48" t="n">
        <x:v>0.0603290676416819</x:v>
      </x:c>
      <x:c r="H65" s="92" t="n">
        <x:v>0</x:v>
      </x:c>
      <x:c r="I65" s="48" t="n">
        <x:v>0.06946983546617916</x:v>
      </x:c>
      <x:c r="J65" s="130" t="n">
        <x:v>9.497164457647775</x:v>
      </x:c>
      <x:c r="K65" s="1"/>
    </x:row>
    <x:row r="66">
      <x:c r="A66" s="47" t="str">
        <x:v>SP → MT</x:v>
      </x:c>
      <x:c r="B66" s="89" t="str">
        <x:v>SP</x:v>
      </x:c>
      <x:c r="C66" s="89" t="str">
        <x:v>MT</x:v>
      </x:c>
      <x:c r="D66" s="92" t="n">
        <x:v>640</x:v>
      </x:c>
      <x:c r="E66" s="92" t="n">
        <x:v>38</x:v>
      </x:c>
      <x:c r="F66" s="48" t="n">
        <x:v>0.940625</x:v>
      </x:c>
      <x:c r="G66" s="48" t="n">
        <x:v>0.059375</x:v>
      </x:c>
      <x:c r="H66" s="92" t="n">
        <x:v>0</x:v>
      </x:c>
      <x:c r="I66" s="48" t="n">
        <x:v>0.0671875</x:v>
      </x:c>
      <x:c r="J66" s="130" t="n">
        <x:v>14.58667115162037</x:v>
      </x:c>
      <x:c r="K66" s="1"/>
    </x:row>
    <x:row r="67">
      <x:c r="A67" s="47" t="str">
        <x:v>DF → BA</x:v>
      </x:c>
      <x:c r="B67" s="89" t="str">
        <x:v>DF</x:v>
      </x:c>
      <x:c r="C67" s="89" t="str">
        <x:v>BA</x:v>
      </x:c>
      <x:c r="D67" s="92" t="n">
        <x:v>35</x:v>
      </x:c>
      <x:c r="E67" s="92" t="n">
        <x:v>2</x:v>
      </x:c>
      <x:c r="F67" s="48" t="n">
        <x:v>0.9428571428571428</x:v>
      </x:c>
      <x:c r="G67" s="48" t="n">
        <x:v>0.05714285714285714</x:v>
      </x:c>
      <x:c r="H67" s="92" t="n">
        <x:v>0</x:v>
      </x:c>
      <x:c r="I67" s="48" t="n">
        <x:v>0.08571428571428572</x:v>
      </x:c>
      <x:c r="J67" s="130" t="n">
        <x:v>14.189466931216932</x:v>
      </x:c>
      <x:c r="K67" s="1"/>
    </x:row>
    <x:row r="68">
      <x:c r="A68" s="47" t="str">
        <x:v>RJ → GO</x:v>
      </x:c>
      <x:c r="B68" s="89" t="str">
        <x:v>RJ</x:v>
      </x:c>
      <x:c r="C68" s="89" t="str">
        <x:v>GO</x:v>
      </x:c>
      <x:c r="D68" s="92" t="n">
        <x:v>107</x:v>
      </x:c>
      <x:c r="E68" s="92" t="n">
        <x:v>6</x:v>
      </x:c>
      <x:c r="F68" s="48" t="n">
        <x:v>0.9439252336448598</x:v>
      </x:c>
      <x:c r="G68" s="48" t="n">
        <x:v>0.056074766355140186</x:v>
      </x:c>
      <x:c r="H68" s="92" t="n">
        <x:v>0</x:v>
      </x:c>
      <x:c r="I68" s="48" t="n">
        <x:v>0.06542056074766354</x:v>
      </x:c>
      <x:c r="J68" s="130" t="n">
        <x:v>12.331309384735203</x:v>
      </x:c>
      <x:c r="K68" s="1"/>
    </x:row>
    <x:row r="69">
      <x:c r="A69" s="47" t="str">
        <x:v>SC → GO</x:v>
      </x:c>
      <x:c r="B69" s="89" t="str">
        <x:v>SC</x:v>
      </x:c>
      <x:c r="C69" s="89" t="str">
        <x:v>GO</x:v>
      </x:c>
      <x:c r="D69" s="92" t="n">
        <x:v>54</x:v>
      </x:c>
      <x:c r="E69" s="92" t="n">
        <x:v>3</x:v>
      </x:c>
      <x:c r="F69" s="48" t="n">
        <x:v>0.9444444444444444</x:v>
      </x:c>
      <x:c r="G69" s="48" t="n">
        <x:v>0.05555555555555555</x:v>
      </x:c>
      <x:c r="H69" s="92" t="n">
        <x:v>0</x:v>
      </x:c>
      <x:c r="I69" s="48" t="n">
        <x:v>0.037037037037037035</x:v>
      </x:c>
      <x:c r="J69" s="130" t="n">
        <x:v>14.976428540809328</x:v>
      </x:c>
      <x:c r="K69" s="1"/>
    </x:row>
    <x:row r="70">
      <x:c r="A70" s="47" t="str">
        <x:v>PR → SC</x:v>
      </x:c>
      <x:c r="B70" s="89" t="str">
        <x:v>PR</x:v>
      </x:c>
      <x:c r="C70" s="89" t="str">
        <x:v>SC</x:v>
      </x:c>
      <x:c r="D70" s="92" t="n">
        <x:v>382</x:v>
      </x:c>
      <x:c r="E70" s="92" t="n">
        <x:v>21</x:v>
      </x:c>
      <x:c r="F70" s="48" t="n">
        <x:v>0.9450261780104712</x:v>
      </x:c>
      <x:c r="G70" s="48" t="n">
        <x:v>0.0549738219895288</x:v>
      </x:c>
      <x:c r="H70" s="92" t="n">
        <x:v>0</x:v>
      </x:c>
      <x:c r="I70" s="48" t="n">
        <x:v>0.10732984293193717</x:v>
      </x:c>
      <x:c r="J70" s="130" t="n">
        <x:v>10.049829570244329</x:v>
      </x:c>
      <x:c r="K70" s="1"/>
    </x:row>
    <x:row r="71">
      <x:c r="A71" s="47" t="str">
        <x:v>RJ → PA</x:v>
      </x:c>
      <x:c r="B71" s="89" t="str">
        <x:v>RJ</x:v>
      </x:c>
      <x:c r="C71" s="89" t="str">
        <x:v>PA</x:v>
      </x:c>
      <x:c r="D71" s="92" t="n">
        <x:v>37</x:v>
      </x:c>
      <x:c r="E71" s="92" t="n">
        <x:v>2</x:v>
      </x:c>
      <x:c r="F71" s="48" t="n">
        <x:v>0.9459459459459459</x:v>
      </x:c>
      <x:c r="G71" s="48" t="n">
        <x:v>0.05405405405405406</x:v>
      </x:c>
      <x:c r="H71" s="92" t="n">
        <x:v>0</x:v>
      </x:c>
      <x:c r="I71" s="48" t="n">
        <x:v>0.05405405405405406</x:v>
      </x:c>
      <x:c r="J71" s="130" t="n">
        <x:v>19.24191722972973</x:v>
      </x:c>
      <x:c r="K71" s="1"/>
    </x:row>
    <x:row r="72">
      <x:c r="A72" s="47" t="str">
        <x:v>GO → RJ</x:v>
      </x:c>
      <x:c r="B72" s="89" t="str">
        <x:v>GO</x:v>
      </x:c>
      <x:c r="C72" s="89" t="str">
        <x:v>RJ</x:v>
      </x:c>
      <x:c r="D72" s="92" t="n">
        <x:v>56</x:v>
      </x:c>
      <x:c r="E72" s="92" t="n">
        <x:v>3</x:v>
      </x:c>
      <x:c r="F72" s="48" t="n">
        <x:v>0.9464285714285714</x:v>
      </x:c>
      <x:c r="G72" s="48" t="n">
        <x:v>0.05357142857142857</x:v>
      </x:c>
      <x:c r="H72" s="92" t="n">
        <x:v>0</x:v>
      </x:c>
      <x:c r="I72" s="48" t="n">
        <x:v>0.125</x:v>
      </x:c>
      <x:c r="J72" s="130" t="n">
        <x:v>11.345187045304232</x:v>
      </x:c>
      <x:c r="K72" s="1"/>
    </x:row>
    <x:row r="73">
      <x:c r="A73" s="47" t="str">
        <x:v>SP → MG</x:v>
      </x:c>
      <x:c r="B73" s="89" t="str">
        <x:v>SP</x:v>
      </x:c>
      <x:c r="C73" s="89" t="str">
        <x:v>MG</x:v>
      </x:c>
      <x:c r="D73" s="92" t="n">
        <x:v>7326</x:v>
      </x:c>
      <x:c r="E73" s="92" t="n">
        <x:v>391</x:v>
      </x:c>
      <x:c r="F73" s="48" t="n">
        <x:v>0.9466284466284466</x:v>
      </x:c>
      <x:c r="G73" s="48" t="n">
        <x:v>0.053371553371553374</x:v>
      </x:c>
      <x:c r="H73" s="92" t="n">
        <x:v>0</x:v>
      </x:c>
      <x:c r="I73" s="48" t="n">
        <x:v>0.09473109473109473</x:v>
      </x:c>
      <x:c r="J73" s="130" t="n">
        <x:v>9.116848960308431</x:v>
      </x:c>
      <x:c r="K73" s="1"/>
    </x:row>
    <x:row r="74">
      <x:c r="A74" s="47" t="str">
        <x:v>PR → MT</x:v>
      </x:c>
      <x:c r="B74" s="89" t="str">
        <x:v>PR</x:v>
      </x:c>
      <x:c r="C74" s="89" t="str">
        <x:v>MT</x:v>
      </x:c>
      <x:c r="D74" s="92" t="n">
        <x:v>57</x:v>
      </x:c>
      <x:c r="E74" s="92" t="n">
        <x:v>3</x:v>
      </x:c>
      <x:c r="F74" s="48" t="n">
        <x:v>0.9473684210526316</x:v>
      </x:c>
      <x:c r="G74" s="48" t="n">
        <x:v>0.05263157894736842</x:v>
      </x:c>
      <x:c r="H74" s="92" t="n">
        <x:v>0</x:v>
      </x:c>
      <x:c r="I74" s="48" t="n">
        <x:v>0.03508771929824561</x:v>
      </x:c>
      <x:c r="J74" s="130" t="n">
        <x:v>15.52595211988304</x:v>
      </x:c>
      <x:c r="K74" s="1"/>
    </x:row>
    <x:row r="75">
      <x:c r="A75" s="47" t="str">
        <x:v>SC → PE</x:v>
      </x:c>
      <x:c r="B75" s="89" t="str">
        <x:v>SC</x:v>
      </x:c>
      <x:c r="C75" s="89" t="str">
        <x:v>PE</x:v>
      </x:c>
      <x:c r="D75" s="92" t="n">
        <x:v>38</x:v>
      </x:c>
      <x:c r="E75" s="92" t="n">
        <x:v>2</x:v>
      </x:c>
      <x:c r="F75" s="48" t="n">
        <x:v>0.9473684210526316</x:v>
      </x:c>
      <x:c r="G75" s="48" t="n">
        <x:v>0.05263157894736842</x:v>
      </x:c>
      <x:c r="H75" s="92" t="n">
        <x:v>0</x:v>
      </x:c>
      <x:c r="I75" s="48" t="n">
        <x:v>0.13157894736842105</x:v>
      </x:c>
      <x:c r="J75" s="130" t="n">
        <x:v>15.278439936647173</x:v>
      </x:c>
      <x:c r="K75" s="1"/>
    </x:row>
    <x:row r="76">
      <x:c r="A76" s="47" t="str">
        <x:v>RS → PR</x:v>
      </x:c>
      <x:c r="B76" s="89" t="str">
        <x:v>RS</x:v>
      </x:c>
      <x:c r="C76" s="89" t="str">
        <x:v>PR</x:v>
      </x:c>
      <x:c r="D76" s="92" t="n">
        <x:v>137</x:v>
      </x:c>
      <x:c r="E76" s="92" t="n">
        <x:v>7</x:v>
      </x:c>
      <x:c r="F76" s="48" t="n">
        <x:v>0.948905109489051</x:v>
      </x:c>
      <x:c r="G76" s="48" t="n">
        <x:v>0.051094890510948905</x:v>
      </x:c>
      <x:c r="H76" s="92" t="n">
        <x:v>0</x:v>
      </x:c>
      <x:c r="I76" s="48" t="n">
        <x:v>0.145985401459854</x:v>
      </x:c>
      <x:c r="J76" s="130" t="n">
        <x:v>6.574843707758854</x:v>
      </x:c>
      <x:c r="K76" s="1"/>
    </x:row>
    <x:row r="77">
      <x:c r="A77" s="47" t="str">
        <x:v>MG → MS</x:v>
      </x:c>
      <x:c r="B77" s="89" t="str">
        <x:v>MG</x:v>
      </x:c>
      <x:c r="C77" s="89" t="str">
        <x:v>MS</x:v>
      </x:c>
      <x:c r="D77" s="92" t="n">
        <x:v>61</x:v>
      </x:c>
      <x:c r="E77" s="92" t="n">
        <x:v>3</x:v>
      </x:c>
      <x:c r="F77" s="48" t="n">
        <x:v>0.9508196721311475</x:v>
      </x:c>
      <x:c r="G77" s="48" t="n">
        <x:v>0.04918032786885246</x:v>
      </x:c>
      <x:c r="H77" s="92" t="n">
        <x:v>0</x:v>
      </x:c>
      <x:c r="I77" s="48" t="n">
        <x:v>0.09836065573770492</x:v>
      </x:c>
      <x:c r="J77" s="130" t="n">
        <x:v>12.843317015786278</x:v>
      </x:c>
      <x:c r="K77" s="1"/>
    </x:row>
    <x:row r="78">
      <x:c r="A78" s="47" t="str">
        <x:v>SC → RS</x:v>
      </x:c>
      <x:c r="B78" s="89" t="str">
        <x:v>SC</x:v>
      </x:c>
      <x:c r="C78" s="89" t="str">
        <x:v>RS</x:v>
      </x:c>
      <x:c r="D78" s="92" t="n">
        <x:v>286</x:v>
      </x:c>
      <x:c r="E78" s="92" t="n">
        <x:v>14</x:v>
      </x:c>
      <x:c r="F78" s="48" t="n">
        <x:v>0.951048951048951</x:v>
      </x:c>
      <x:c r="G78" s="48" t="n">
        <x:v>0.04895104895104895</x:v>
      </x:c>
      <x:c r="H78" s="92" t="n">
        <x:v>0</x:v>
      </x:c>
      <x:c r="I78" s="48" t="n">
        <x:v>0.07692307692307693</x:v>
      </x:c>
      <x:c r="J78" s="130" t="n">
        <x:v>9.78486803127428</x:v>
      </x:c>
      <x:c r="K78" s="1"/>
    </x:row>
    <x:row r="79">
      <x:c r="A79" s="47" t="str">
        <x:v>MA → RJ</x:v>
      </x:c>
      <x:c r="B79" s="89" t="str">
        <x:v>MA</x:v>
      </x:c>
      <x:c r="C79" s="89" t="str">
        <x:v>RJ</x:v>
      </x:c>
      <x:c r="D79" s="92" t="n">
        <x:v>41</x:v>
      </x:c>
      <x:c r="E79" s="92" t="n">
        <x:v>2</x:v>
      </x:c>
      <x:c r="F79" s="48" t="n">
        <x:v>0.9512195121951219</x:v>
      </x:c>
      <x:c r="G79" s="48" t="n">
        <x:v>0.04878048780487805</x:v>
      </x:c>
      <x:c r="H79" s="92" t="n">
        <x:v>0</x:v>
      </x:c>
      <x:c r="I79" s="48" t="n">
        <x:v>0.24390243902439024</x:v>
      </x:c>
      <x:c r="J79" s="130" t="n">
        <x:v>13.318207429990968</x:v>
      </x:c>
      <x:c r="K79" s="1"/>
    </x:row>
    <x:row r="80">
      <x:c r="A80" s="47" t="str">
        <x:v>BA → RJ</x:v>
      </x:c>
      <x:c r="B80" s="89" t="str">
        <x:v>BA</x:v>
      </x:c>
      <x:c r="C80" s="89" t="str">
        <x:v>RJ</x:v>
      </x:c>
      <x:c r="D80" s="92" t="n">
        <x:v>83</x:v>
      </x:c>
      <x:c r="E80" s="92" t="n">
        <x:v>4</x:v>
      </x:c>
      <x:c r="F80" s="48" t="n">
        <x:v>0.9518072289156626</x:v>
      </x:c>
      <x:c r="G80" s="48" t="n">
        <x:v>0.04819277108433735</x:v>
      </x:c>
      <x:c r="H80" s="92" t="n">
        <x:v>0</x:v>
      </x:c>
      <x:c r="I80" s="48" t="n">
        <x:v>0.07228915662650602</x:v>
      </x:c>
      <x:c r="J80" s="130" t="n">
        <x:v>10.574063755020081</x:v>
      </x:c>
      <x:c r="K80" s="1"/>
    </x:row>
    <x:row r="81">
      <x:c r="A81" s="47" t="str">
        <x:v>RJ → RJ</x:v>
      </x:c>
      <x:c r="B81" s="89" t="str">
        <x:v>RJ</x:v>
      </x:c>
      <x:c r="C81" s="89" t="str">
        <x:v>RJ</x:v>
      </x:c>
      <x:c r="D81" s="92" t="n">
        <x:v>943</x:v>
      </x:c>
      <x:c r="E81" s="92" t="n">
        <x:v>45</x:v>
      </x:c>
      <x:c r="F81" s="48" t="n">
        <x:v>0.9522799575821845</x:v>
      </x:c>
      <x:c r="G81" s="48" t="n">
        <x:v>0.04772004241781548</x:v>
      </x:c>
      <x:c r="H81" s="92" t="n">
        <x:v>0</x:v>
      </x:c>
      <x:c r="I81" s="48" t="n">
        <x:v>0.09650053022269353</x:v>
      </x:c>
      <x:c r="J81" s="130" t="n">
        <x:v>3.810336471357238</x:v>
      </x:c>
      <x:c r="K81" s="1"/>
    </x:row>
    <x:row r="82">
      <x:c r="A82" s="47" t="str">
        <x:v>MG → ES</x:v>
      </x:c>
      <x:c r="B82" s="89" t="str">
        <x:v>MG</x:v>
      </x:c>
      <x:c r="C82" s="89" t="str">
        <x:v>ES</x:v>
      </x:c>
      <x:c r="D82" s="92" t="n">
        <x:v>169</x:v>
      </x:c>
      <x:c r="E82" s="92" t="n">
        <x:v>8</x:v>
      </x:c>
      <x:c r="F82" s="48" t="n">
        <x:v>0.9526627218934911</x:v>
      </x:c>
      <x:c r="G82" s="48" t="n">
        <x:v>0.047337278106508875</x:v>
      </x:c>
      <x:c r="H82" s="92" t="n">
        <x:v>0</x:v>
      </x:c>
      <x:c r="I82" s="48" t="n">
        <x:v>0.1301775147928994</x:v>
      </x:c>
      <x:c r="J82" s="130" t="n">
        <x:v>12.427016354372123</x:v>
      </x:c>
      <x:c r="K82" s="1"/>
    </x:row>
    <x:row r="83">
      <x:c r="A83" s="47" t="str">
        <x:v>SP → SP</x:v>
      </x:c>
      <x:c r="B83" s="89" t="str">
        <x:v>SP</x:v>
      </x:c>
      <x:c r="C83" s="89" t="str">
        <x:v>SP</x:v>
      </x:c>
      <x:c r="D83" s="92" t="n">
        <x:v>30313</x:v>
      </x:c>
      <x:c r="E83" s="92" t="n">
        <x:v>1425</x:v>
      </x:c>
      <x:c r="F83" s="48" t="n">
        <x:v>0.9529904661366411</x:v>
      </x:c>
      <x:c r="G83" s="48" t="n">
        <x:v>0.04700953386335895</x:v>
      </x:c>
      <x:c r="H83" s="92" t="n">
        <x:v>0</x:v>
      </x:c>
      <x:c r="I83" s="48" t="n">
        <x:v>0.09190776234618811</x:v>
      </x:c>
      <x:c r="J83" s="130" t="n">
        <x:v>4.809083746946775</x:v>
      </x:c>
      <x:c r="K83" s="1"/>
    </x:row>
    <x:row r="84">
      <x:c r="A84" s="47" t="str">
        <x:v>PR → GO</x:v>
      </x:c>
      <x:c r="B84" s="89" t="str">
        <x:v>PR</x:v>
      </x:c>
      <x:c r="C84" s="89" t="str">
        <x:v>GO</x:v>
      </x:c>
      <x:c r="D84" s="92" t="n">
        <x:v>87</x:v>
      </x:c>
      <x:c r="E84" s="92" t="n">
        <x:v>4</x:v>
      </x:c>
      <x:c r="F84" s="48" t="n">
        <x:v>0.9540229885057472</x:v>
      </x:c>
      <x:c r="G84" s="48" t="n">
        <x:v>0.04597701149425287</x:v>
      </x:c>
      <x:c r="H84" s="92" t="n">
        <x:v>0</x:v>
      </x:c>
      <x:c r="I84" s="48" t="n">
        <x:v>0.08045977011494253</x:v>
      </x:c>
      <x:c r="J84" s="130" t="n">
        <x:v>12.177749973392933</x:v>
      </x:c>
      <x:c r="K84" s="1"/>
    </x:row>
    <x:row r="85">
      <x:c r="A85" s="47" t="str">
        <x:v>SP → PR</x:v>
      </x:c>
      <x:c r="B85" s="89" t="str">
        <x:v>SP</x:v>
      </x:c>
      <x:c r="C85" s="89" t="str">
        <x:v>PR</x:v>
      </x:c>
      <x:c r="D85" s="92" t="n">
        <x:v>3077</x:v>
      </x:c>
      <x:c r="E85" s="92" t="n">
        <x:v>138</x:v>
      </x:c>
      <x:c r="F85" s="48" t="n">
        <x:v>0.9551511212219694</x:v>
      </x:c>
      <x:c r="G85" s="48" t="n">
        <x:v>0.04484887877803055</x:v>
      </x:c>
      <x:c r="H85" s="92" t="n">
        <x:v>0</x:v>
      </x:c>
      <x:c r="I85" s="48" t="n">
        <x:v>0.08774780630484239</x:v>
      </x:c>
      <x:c r="J85" s="130" t="n">
        <x:v>9.569859873584178</x:v>
      </x:c>
      <x:c r="K85" s="1"/>
    </x:row>
    <x:row r="86">
      <x:c r="A86" s="47" t="str">
        <x:v>MG → RS</x:v>
      </x:c>
      <x:c r="B86" s="89" t="str">
        <x:v>MG</x:v>
      </x:c>
      <x:c r="C86" s="89" t="str">
        <x:v>RS</x:v>
      </x:c>
      <x:c r="D86" s="92" t="n">
        <x:v>273</x:v>
      </x:c>
      <x:c r="E86" s="92" t="n">
        <x:v>12</x:v>
      </x:c>
      <x:c r="F86" s="48" t="n">
        <x:v>0.9560439560439561</x:v>
      </x:c>
      <x:c r="G86" s="48" t="n">
        <x:v>0.04395604395604396</x:v>
      </x:c>
      <x:c r="H86" s="92" t="n">
        <x:v>0</x:v>
      </x:c>
      <x:c r="I86" s="48" t="n">
        <x:v>0.0989010989010989</x:v>
      </x:c>
      <x:c r="J86" s="130" t="n">
        <x:v>14.025040488061322</x:v>
      </x:c>
      <x:c r="K86" s="1"/>
    </x:row>
    <x:row r="87">
      <x:c r="A87" s="47" t="str">
        <x:v>SC → SC</x:v>
      </x:c>
      <x:c r="B87" s="89" t="str">
        <x:v>SC</x:v>
      </x:c>
      <x:c r="C87" s="89" t="str">
        <x:v>SC</x:v>
      </x:c>
      <x:c r="D87" s="92" t="n">
        <x:v>253</x:v>
      </x:c>
      <x:c r="E87" s="92" t="n">
        <x:v>11</x:v>
      </x:c>
      <x:c r="F87" s="48" t="n">
        <x:v>0.9565217391304348</x:v>
      </x:c>
      <x:c r="G87" s="48" t="n">
        <x:v>0.043478260869565216</x:v>
      </x:c>
      <x:c r="H87" s="92" t="n">
        <x:v>0</x:v>
      </x:c>
      <x:c r="I87" s="48" t="n">
        <x:v>0.08300395256916997</x:v>
      </x:c>
      <x:c r="J87" s="130" t="n">
        <x:v>5.553729367954912</x:v>
      </x:c>
      <x:c r="K87" s="1"/>
    </x:row>
    <x:row r="88">
      <x:c r="A88" s="47" t="str">
        <x:v>PR → RS</x:v>
      </x:c>
      <x:c r="B88" s="89" t="str">
        <x:v>PR</x:v>
      </x:c>
      <x:c r="C88" s="89" t="str">
        <x:v>RS</x:v>
      </x:c>
      <x:c r="D88" s="92" t="n">
        <x:v>562</x:v>
      </x:c>
      <x:c r="E88" s="92" t="n">
        <x:v>24</x:v>
      </x:c>
      <x:c r="F88" s="48" t="n">
        <x:v>0.9572953736654805</x:v>
      </x:c>
      <x:c r="G88" s="48" t="n">
        <x:v>0.042704626334519574</x:v>
      </x:c>
      <x:c r="H88" s="92" t="n">
        <x:v>0</x:v>
      </x:c>
      <x:c r="I88" s="48" t="n">
        <x:v>0.09074733096085409</x:v>
      </x:c>
      <x:c r="J88" s="130" t="n">
        <x:v>10.174194922235403</x:v>
      </x:c>
      <x:c r="K88" s="1"/>
    </x:row>
    <x:row r="89">
      <x:c r="A89" s="47" t="str">
        <x:v>DF → DF</x:v>
      </x:c>
      <x:c r="B89" s="89" t="str">
        <x:v>DF</x:v>
      </x:c>
      <x:c r="C89" s="89" t="str">
        <x:v>DF</x:v>
      </x:c>
      <x:c r="D89" s="92" t="n">
        <x:v>49</x:v>
      </x:c>
      <x:c r="E89" s="92" t="n">
        <x:v>2</x:v>
      </x:c>
      <x:c r="F89" s="48" t="n">
        <x:v>0.9591836734693877</x:v>
      </x:c>
      <x:c r="G89" s="48" t="n">
        <x:v>0.04081632653061224</x:v>
      </x:c>
      <x:c r="H89" s="92" t="n">
        <x:v>0</x:v>
      </x:c>
      <x:c r="I89" s="48" t="n">
        <x:v>0.061224489795918366</x:v>
      </x:c>
      <x:c r="J89" s="130" t="n">
        <x:v>1.8241728080120938</x:v>
      </x:c>
      <x:c r="K89" s="1"/>
    </x:row>
    <x:row r="90">
      <x:c r="A90" s="47" t="str">
        <x:v>SC → ES</x:v>
      </x:c>
      <x:c r="B90" s="89" t="str">
        <x:v>SC</x:v>
      </x:c>
      <x:c r="C90" s="89" t="str">
        <x:v>ES</x:v>
      </x:c>
      <x:c r="D90" s="92" t="n">
        <x:v>49</x:v>
      </x:c>
      <x:c r="E90" s="92" t="n">
        <x:v>2</x:v>
      </x:c>
      <x:c r="F90" s="48" t="n">
        <x:v>0.9591836734693877</x:v>
      </x:c>
      <x:c r="G90" s="48" t="n">
        <x:v>0.04081632653061224</x:v>
      </x:c>
      <x:c r="H90" s="92" t="n">
        <x:v>0</x:v>
      </x:c>
      <x:c r="I90" s="48" t="n">
        <x:v>0.04081632653061224</x:v>
      </x:c>
      <x:c r="J90" s="130" t="n">
        <x:v>12.443424981103552</x:v>
      </x:c>
      <x:c r="K90" s="1"/>
    </x:row>
    <x:row r="91">
      <x:c r="A91" s="47" t="str">
        <x:v>SP → AP</x:v>
      </x:c>
      <x:c r="B91" s="89" t="str">
        <x:v>SP</x:v>
      </x:c>
      <x:c r="C91" s="89" t="str">
        <x:v>AP</x:v>
      </x:c>
      <x:c r="D91" s="92" t="n">
        <x:v>49</x:v>
      </x:c>
      <x:c r="E91" s="92" t="n">
        <x:v>2</x:v>
      </x:c>
      <x:c r="F91" s="48" t="n">
        <x:v>0.9591836734693877</x:v>
      </x:c>
      <x:c r="G91" s="48" t="n">
        <x:v>0.04081632653061224</x:v>
      </x:c>
      <x:c r="H91" s="92" t="n">
        <x:v>0</x:v>
      </x:c>
      <x:c r="I91" s="48" t="n">
        <x:v>0.061224489795918366</x:v>
      </x:c>
      <x:c r="J91" s="130" t="n">
        <x:v>24.414060610355254</x:v>
      </x:c>
      <x:c r="K91" s="1"/>
    </x:row>
    <x:row r="92">
      <x:c r="A92" s="47" t="str">
        <x:v>PR → MG</x:v>
      </x:c>
      <x:c r="B92" s="89" t="str">
        <x:v>PR</x:v>
      </x:c>
      <x:c r="C92" s="89" t="str">
        <x:v>MG</x:v>
      </x:c>
      <x:c r="D92" s="92" t="n">
        <x:v>803</x:v>
      </x:c>
      <x:c r="E92" s="92" t="n">
        <x:v>32</x:v>
      </x:c>
      <x:c r="F92" s="48" t="n">
        <x:v>0.9601494396014943</x:v>
      </x:c>
      <x:c r="G92" s="48" t="n">
        <x:v>0.039850560398505604</x:v>
      </x:c>
      <x:c r="H92" s="92" t="n">
        <x:v>0</x:v>
      </x:c>
      <x:c r="I92" s="48" t="n">
        <x:v>0.11581569115815692</x:v>
      </x:c>
      <x:c r="J92" s="130" t="n">
        <x:v>10.272140800124532</x:v>
      </x:c>
      <x:c r="K92" s="1"/>
    </x:row>
    <x:row r="93">
      <x:c r="A93" s="47" t="str">
        <x:v>SC → SP</x:v>
      </x:c>
      <x:c r="B93" s="89" t="str">
        <x:v>SC</x:v>
      </x:c>
      <x:c r="C93" s="89" t="str">
        <x:v>SP</x:v>
      </x:c>
      <x:c r="D93" s="92" t="n">
        <x:v>1288</x:v>
      </x:c>
      <x:c r="E93" s="92" t="n">
        <x:v>48</x:v>
      </x:c>
      <x:c r="F93" s="48" t="n">
        <x:v>0.9627329192546584</x:v>
      </x:c>
      <x:c r="G93" s="48" t="n">
        <x:v>0.037267080745341616</x:v>
      </x:c>
      <x:c r="H93" s="92" t="n">
        <x:v>0</x:v>
      </x:c>
      <x:c r="I93" s="48" t="n">
        <x:v>0.07763975155279502</x:v>
      </x:c>
      <x:c r="J93" s="130" t="n">
        <x:v>9.070401884561193</x:v>
      </x:c>
      <x:c r="K93" s="1"/>
    </x:row>
    <x:row r="94">
      <x:c r="A94" s="47" t="str">
        <x:v>BA → SP</x:v>
      </x:c>
      <x:c r="B94" s="89" t="str">
        <x:v>BA</x:v>
      </x:c>
      <x:c r="C94" s="89" t="str">
        <x:v>SP</x:v>
      </x:c>
      <x:c r="D94" s="92" t="n">
        <x:v>135</x:v>
      </x:c>
      <x:c r="E94" s="92" t="n">
        <x:v>5</x:v>
      </x:c>
      <x:c r="F94" s="48" t="n">
        <x:v>0.962962962962963</x:v>
      </x:c>
      <x:c r="G94" s="48" t="n">
        <x:v>0.037037037037037035</x:v>
      </x:c>
      <x:c r="H94" s="92" t="n">
        <x:v>0</x:v>
      </x:c>
      <x:c r="I94" s="48" t="n">
        <x:v>0.044444444444444446</x:v>
      </x:c>
      <x:c r="J94" s="130" t="n">
        <x:v>8.325356224279837</x:v>
      </x:c>
      <x:c r="K94" s="1"/>
    </x:row>
    <x:row r="95">
      <x:c r="A95" s="47" t="str">
        <x:v>PR → MS</x:v>
      </x:c>
      <x:c r="B95" s="89" t="str">
        <x:v>PR</x:v>
      </x:c>
      <x:c r="C95" s="89" t="str">
        <x:v>MS</x:v>
      </x:c>
      <x:c r="D95" s="92" t="n">
        <x:v>55</x:v>
      </x:c>
      <x:c r="E95" s="92" t="n">
        <x:v>2</x:v>
      </x:c>
      <x:c r="F95" s="48" t="n">
        <x:v>0.9636363636363636</x:v>
      </x:c>
      <x:c r="G95" s="48" t="n">
        <x:v>0.03636363636363636</x:v>
      </x:c>
      <x:c r="H95" s="92" t="n">
        <x:v>0</x:v>
      </x:c>
      <x:c r="I95" s="48" t="n">
        <x:v>0.07272727272727272</x:v>
      </x:c>
      <x:c r="J95" s="130" t="n">
        <x:v>10.422084806397306</x:v>
      </x:c>
      <x:c r="K95" s="1"/>
    </x:row>
    <x:row r="96">
      <x:c r="A96" s="47" t="str">
        <x:v>MG → SP</x:v>
      </x:c>
      <x:c r="B96" s="89" t="str">
        <x:v>MG</x:v>
      </x:c>
      <x:c r="C96" s="89" t="str">
        <x:v>SP</x:v>
      </x:c>
      <x:c r="D96" s="92" t="n">
        <x:v>2506</x:v>
      </x:c>
      <x:c r="E96" s="92" t="n">
        <x:v>91</x:v>
      </x:c>
      <x:c r="F96" s="48" t="n">
        <x:v>0.9636871508379888</x:v>
      </x:c>
      <x:c r="G96" s="48" t="n">
        <x:v>0.036312849162011177</x:v>
      </x:c>
      <x:c r="H96" s="92" t="n">
        <x:v>0</x:v>
      </x:c>
      <x:c r="I96" s="48" t="n">
        <x:v>0.08100558659217877</x:v>
      </x:c>
      <x:c r="J96" s="130" t="n">
        <x:v>7.767667182096303</x:v>
      </x:c>
      <x:c r="K96" s="1"/>
    </x:row>
    <x:row r="97">
      <x:c r="A97" s="47" t="str">
        <x:v>SC → MG</x:v>
      </x:c>
      <x:c r="B97" s="89" t="str">
        <x:v>SC</x:v>
      </x:c>
      <x:c r="C97" s="89" t="str">
        <x:v>MG</x:v>
      </x:c>
      <x:c r="D97" s="92" t="n">
        <x:v>422</x:v>
      </x:c>
      <x:c r="E97" s="92" t="n">
        <x:v>15</x:v>
      </x:c>
      <x:c r="F97" s="48" t="n">
        <x:v>0.9644549763033176</x:v>
      </x:c>
      <x:c r="G97" s="48" t="n">
        <x:v>0.035545023696682464</x:v>
      </x:c>
      <x:c r="H97" s="92" t="n">
        <x:v>0</x:v>
      </x:c>
      <x:c r="I97" s="48" t="n">
        <x:v>0.1018957345971564</x:v>
      </x:c>
      <x:c r="J97" s="130" t="n">
        <x:v>11.408141867430226</x:v>
      </x:c>
      <x:c r="K97" s="1"/>
    </x:row>
    <x:row r="98">
      <x:c r="A98" s="47" t="str">
        <x:v>SP → AC</x:v>
      </x:c>
      <x:c r="B98" s="89" t="str">
        <x:v>SP</x:v>
      </x:c>
      <x:c r="C98" s="89" t="str">
        <x:v>AC</x:v>
      </x:c>
      <x:c r="D98" s="92" t="n">
        <x:v>57</x:v>
      </x:c>
      <x:c r="E98" s="92" t="n">
        <x:v>2</x:v>
      </x:c>
      <x:c r="F98" s="48" t="n">
        <x:v>0.9649122807017544</x:v>
      </x:c>
      <x:c r="G98" s="48" t="n">
        <x:v>0.03508771929824561</x:v>
      </x:c>
      <x:c r="H98" s="92" t="n">
        <x:v>0</x:v>
      </x:c>
      <x:c r="I98" s="48" t="n">
        <x:v>0.07017543859649122</x:v>
      </x:c>
      <x:c r="J98" s="130" t="n">
        <x:v>17.480636777128005</x:v>
      </x:c>
      <x:c r="K98" s="1"/>
    </x:row>
    <x:row r="99">
      <x:c r="A99" s="47" t="str">
        <x:v>MT → SP</x:v>
      </x:c>
      <x:c r="B99" s="89" t="str">
        <x:v>MT</x:v>
      </x:c>
      <x:c r="C99" s="89" t="str">
        <x:v>SP</x:v>
      </x:c>
      <x:c r="D99" s="92" t="n">
        <x:v>30</x:v>
      </x:c>
      <x:c r="E99" s="92" t="n">
        <x:v>1</x:v>
      </x:c>
      <x:c r="F99" s="48" t="n">
        <x:v>0.9666666666666667</x:v>
      </x:c>
      <x:c r="G99" s="48" t="n">
        <x:v>0.03333333333333333</x:v>
      </x:c>
      <x:c r="H99" s="92" t="n">
        <x:v>0</x:v>
      </x:c>
      <x:c r="I99" s="48" t="n">
        <x:v>0.13333333333333333</x:v>
      </x:c>
      <x:c r="J99" s="130" t="n">
        <x:v>9.059141975308643</x:v>
      </x:c>
      <x:c r="K99" s="1"/>
    </x:row>
    <x:row r="100">
      <x:c r="A100" s="47" t="str">
        <x:v>MG → DF</x:v>
      </x:c>
      <x:c r="B100" s="89" t="str">
        <x:v>MG</x:v>
      </x:c>
      <x:c r="C100" s="89" t="str">
        <x:v>DF</x:v>
      </x:c>
      <x:c r="D100" s="92" t="n">
        <x:v>183</x:v>
      </x:c>
      <x:c r="E100" s="92" t="n">
        <x:v>6</x:v>
      </x:c>
      <x:c r="F100" s="48" t="n">
        <x:v>0.9672131147540983</x:v>
      </x:c>
      <x:c r="G100" s="48" t="n">
        <x:v>0.03278688524590164</x:v>
      </x:c>
      <x:c r="H100" s="92" t="n">
        <x:v>0</x:v>
      </x:c>
      <x:c r="I100" s="48" t="n">
        <x:v>0.08743169398907104</x:v>
      </x:c>
      <x:c r="J100" s="130" t="n">
        <x:v>8.840649919044727</x:v>
      </x:c>
      <x:c r="K100" s="1"/>
    </x:row>
    <x:row r="101">
      <x:c r="A101" s="47" t="str">
        <x:v>SC → MS</x:v>
      </x:c>
      <x:c r="B101" s="89" t="str">
        <x:v>SC</x:v>
      </x:c>
      <x:c r="C101" s="89" t="str">
        <x:v>MS</x:v>
      </x:c>
      <x:c r="D101" s="92" t="n">
        <x:v>31</x:v>
      </x:c>
      <x:c r="E101" s="92" t="n">
        <x:v>1</x:v>
      </x:c>
      <x:c r="F101" s="48" t="n">
        <x:v>0.967741935483871</x:v>
      </x:c>
      <x:c r="G101" s="48" t="n">
        <x:v>0.03225806451612903</x:v>
      </x:c>
      <x:c r="H101" s="92" t="n">
        <x:v>0</x:v>
      </x:c>
      <x:c r="I101" s="48" t="n">
        <x:v>0.1935483870967742</x:v>
      </x:c>
      <x:c r="J101" s="130" t="n">
        <x:v>10.670741114097968</x:v>
      </x:c>
      <x:c r="K101" s="1"/>
    </x:row>
    <x:row r="102">
      <x:c r="A102" s="47" t="str">
        <x:v>PR → SP</x:v>
      </x:c>
      <x:c r="B102" s="89" t="str">
        <x:v>PR</x:v>
      </x:c>
      <x:c r="C102" s="89" t="str">
        <x:v>SP</x:v>
      </x:c>
      <x:c r="D102" s="92" t="n">
        <x:v>2873</x:v>
      </x:c>
      <x:c r="E102" s="92" t="n">
        <x:v>90</x:v>
      </x:c>
      <x:c r="F102" s="48" t="n">
        <x:v>0.968673860076575</x:v>
      </x:c>
      <x:c r="G102" s="48" t="n">
        <x:v>0.03132613992342499</x:v>
      </x:c>
      <x:c r="H102" s="92" t="n">
        <x:v>0</x:v>
      </x:c>
      <x:c r="I102" s="48" t="n">
        <x:v>0.11211699164345404</x:v>
      </x:c>
      <x:c r="J102" s="130" t="n">
        <x:v>7.722487398283555</x:v>
      </x:c>
      <x:c r="K102" s="1"/>
    </x:row>
    <x:row r="103">
      <x:c r="A103" s="47" t="str">
        <x:v>MG → PI</x:v>
      </x:c>
      <x:c r="B103" s="89" t="str">
        <x:v>MG</x:v>
      </x:c>
      <x:c r="C103" s="89" t="str">
        <x:v>PI</x:v>
      </x:c>
      <x:c r="D103" s="92" t="n">
        <x:v>32</x:v>
      </x:c>
      <x:c r="E103" s="92" t="n">
        <x:v>1</x:v>
      </x:c>
      <x:c r="F103" s="48" t="n">
        <x:v>0.96875</x:v>
      </x:c>
      <x:c r="G103" s="48" t="n">
        <x:v>0.03125</x:v>
      </x:c>
      <x:c r="H103" s="92" t="n">
        <x:v>0</x:v>
      </x:c>
      <x:c r="I103" s="48" t="n">
        <x:v>0.0625</x:v>
      </x:c>
      <x:c r="J103" s="130" t="n">
        <x:v>13.230088614004629</x:v>
      </x:c>
      <x:c r="K103" s="1"/>
    </x:row>
    <x:row r="104">
      <x:c r="A104" s="47" t="str">
        <x:v>SP → AM</x:v>
      </x:c>
      <x:c r="B104" s="89" t="str">
        <x:v>SP</x:v>
      </x:c>
      <x:c r="C104" s="89" t="str">
        <x:v>AM</x:v>
      </x:c>
      <x:c r="D104" s="92" t="n">
        <x:v>99</x:v>
      </x:c>
      <x:c r="E104" s="92" t="n">
        <x:v>3</x:v>
      </x:c>
      <x:c r="F104" s="48" t="n">
        <x:v>0.9696969696969697</x:v>
      </x:c>
      <x:c r="G104" s="48" t="n">
        <x:v>0.030303030303030304</x:v>
      </x:c>
      <x:c r="H104" s="92" t="n">
        <x:v>0</x:v>
      </x:c>
      <x:c r="I104" s="48" t="n">
        <x:v>0.0707070707070707</x:v>
      </x:c>
      <x:c r="J104" s="130" t="n">
        <x:v>22.997659114291057</x:v>
      </x:c>
      <x:c r="K104" s="1"/>
    </x:row>
    <x:row r="105">
      <x:c r="A105" s="47" t="str">
        <x:v>SP → RO</x:v>
      </x:c>
      <x:c r="B105" s="89" t="str">
        <x:v>SP</x:v>
      </x:c>
      <x:c r="C105" s="89" t="str">
        <x:v>RO</x:v>
      </x:c>
      <x:c r="D105" s="92" t="n">
        <x:v>167</x:v>
      </x:c>
      <x:c r="E105" s="92" t="n">
        <x:v>5</x:v>
      </x:c>
      <x:c r="F105" s="48" t="n">
        <x:v>0.9700598802395209</x:v>
      </x:c>
      <x:c r="G105" s="48" t="n">
        <x:v>0.029940119760479042</x:v>
      </x:c>
      <x:c r="H105" s="92" t="n">
        <x:v>0</x:v>
      </x:c>
      <x:c r="I105" s="48" t="n">
        <x:v>0.0718562874251497</x:v>
      </x:c>
      <x:c r="J105" s="130" t="n">
        <x:v>16.451727309270346</x:v>
      </x:c>
      <x:c r="K105" s="1"/>
    </x:row>
    <x:row r="106">
      <x:c r="A106" s="47" t="str">
        <x:v>RS → RS</x:v>
      </x:c>
      <x:c r="B106" s="89" t="str">
        <x:v>RS</x:v>
      </x:c>
      <x:c r="C106" s="89" t="str">
        <x:v>RS</x:v>
      </x:c>
      <x:c r="D106" s="92" t="n">
        <x:v>287</x:v>
      </x:c>
      <x:c r="E106" s="92" t="n">
        <x:v>8</x:v>
      </x:c>
      <x:c r="F106" s="48" t="n">
        <x:v>0.9721254355400697</x:v>
      </x:c>
      <x:c r="G106" s="48" t="n">
        <x:v>0.027874564459930314</x:v>
      </x:c>
      <x:c r="H106" s="92" t="n">
        <x:v>0</x:v>
      </x:c>
      <x:c r="I106" s="48" t="n">
        <x:v>0.08013937282229965</x:v>
      </x:c>
      <x:c r="J106" s="130" t="n">
        <x:v>3.9201263872757774</x:v>
      </x:c>
      <x:c r="K106" s="1"/>
    </x:row>
    <x:row r="107">
      <x:c r="A107" s="47" t="str">
        <x:v>PR → PR</x:v>
      </x:c>
      <x:c r="B107" s="89" t="str">
        <x:v>PR</x:v>
      </x:c>
      <x:c r="C107" s="89" t="str">
        <x:v>PR</x:v>
      </x:c>
      <x:c r="D107" s="92" t="n">
        <x:v>703</x:v>
      </x:c>
      <x:c r="E107" s="92" t="n">
        <x:v>19</x:v>
      </x:c>
      <x:c r="F107" s="48" t="n">
        <x:v>0.972972972972973</x:v>
      </x:c>
      <x:c r="G107" s="48" t="n">
        <x:v>0.02702702702702703</x:v>
      </x:c>
      <x:c r="H107" s="92" t="n">
        <x:v>0</x:v>
      </x:c>
      <x:c r="I107" s="48" t="n">
        <x:v>0.14366998577524892</x:v>
      </x:c>
      <x:c r="J107" s="130" t="n">
        <x:v>4.893921931800222</x:v>
      </x:c>
      <x:c r="K107" s="1"/>
    </x:row>
    <x:row r="108">
      <x:c r="A108" s="47" t="str">
        <x:v>PR → DF</x:v>
      </x:c>
      <x:c r="B108" s="89" t="str">
        <x:v>PR</x:v>
      </x:c>
      <x:c r="C108" s="89" t="str">
        <x:v>DF</x:v>
      </x:c>
      <x:c r="D108" s="92" t="n">
        <x:v>148</x:v>
      </x:c>
      <x:c r="E108" s="92" t="n">
        <x:v>4</x:v>
      </x:c>
      <x:c r="F108" s="48" t="n">
        <x:v>0.972972972972973</x:v>
      </x:c>
      <x:c r="G108" s="48" t="n">
        <x:v>0.02702702702702703</x:v>
      </x:c>
      <x:c r="H108" s="92" t="n">
        <x:v>0</x:v>
      </x:c>
      <x:c r="I108" s="48" t="n">
        <x:v>0.07432432432432433</x:v>
      </x:c>
      <x:c r="J108" s="130" t="n">
        <x:v>10.204891297547547</x:v>
      </x:c>
      <x:c r="K108" s="1"/>
    </x:row>
    <x:row r="109">
      <x:c r="A109" s="47" t="str">
        <x:v>MG → GO</x:v>
      </x:c>
      <x:c r="B109" s="89" t="str">
        <x:v>MG</x:v>
      </x:c>
      <x:c r="C109" s="89" t="str">
        <x:v>GO</x:v>
      </x:c>
      <x:c r="D109" s="92" t="n">
        <x:v>149</x:v>
      </x:c>
      <x:c r="E109" s="92" t="n">
        <x:v>4</x:v>
      </x:c>
      <x:c r="F109" s="48" t="n">
        <x:v>0.9731543624161074</x:v>
      </x:c>
      <x:c r="G109" s="48" t="n">
        <x:v>0.026845637583892617</x:v>
      </x:c>
      <x:c r="H109" s="92" t="n">
        <x:v>0</x:v>
      </x:c>
      <x:c r="I109" s="48" t="n">
        <x:v>0.06040268456375839</x:v>
      </x:c>
      <x:c r="J109" s="130" t="n">
        <x:v>11.37152917598807</x:v>
      </x:c>
      <x:c r="K109" s="1"/>
    </x:row>
    <x:row r="110">
      <x:c r="A110" s="47" t="str">
        <x:v>MG → MG</x:v>
      </x:c>
      <x:c r="B110" s="89" t="str">
        <x:v>MG</x:v>
      </x:c>
      <x:c r="C110" s="89" t="str">
        <x:v>MG</x:v>
      </x:c>
      <x:c r="D110" s="92" t="n">
        <x:v>1507</x:v>
      </x:c>
      <x:c r="E110" s="92" t="n">
        <x:v>38</x:v>
      </x:c>
      <x:c r="F110" s="48" t="n">
        <x:v>0.9747843397478434</x:v>
      </x:c>
      <x:c r="G110" s="48" t="n">
        <x:v>0.025215660252156602</x:v>
      </x:c>
      <x:c r="H110" s="92" t="n">
        <x:v>0</x:v>
      </x:c>
      <x:c r="I110" s="48" t="n">
        <x:v>0.07033842070338421</x:v>
      </x:c>
      <x:c r="J110" s="130" t="n">
        <x:v>5.593143363378309</x:v>
      </x:c>
      <x:c r="K110" s="1"/>
    </x:row>
    <x:row r="111">
      <x:c r="A111" s="47" t="str">
        <x:v>SC → PR</x:v>
      </x:c>
      <x:c r="B111" s="89" t="str">
        <x:v>SC</x:v>
      </x:c>
      <x:c r="C111" s="89" t="str">
        <x:v>PR</x:v>
      </x:c>
      <x:c r="D111" s="92" t="n">
        <x:v>282</x:v>
      </x:c>
      <x:c r="E111" s="92" t="n">
        <x:v>7</x:v>
      </x:c>
      <x:c r="F111" s="48" t="n">
        <x:v>0.975177304964539</x:v>
      </x:c>
      <x:c r="G111" s="48" t="n">
        <x:v>0.024822695035460994</x:v>
      </x:c>
      <x:c r="H111" s="92" t="n">
        <x:v>0</x:v>
      </x:c>
      <x:c r="I111" s="48" t="n">
        <x:v>0.05319148936170213</x:v>
      </x:c>
      <x:c r="J111" s="130" t="n">
        <x:v>8.434693533293933</x:v>
      </x:c>
      <x:c r="K111" s="1"/>
    </x:row>
    <x:row r="112">
      <x:c r="A112" s="47" t="str">
        <x:v>DF → SP</x:v>
      </x:c>
      <x:c r="B112" s="89" t="str">
        <x:v>DF</x:v>
      </x:c>
      <x:c r="C112" s="89" t="str">
        <x:v>SP</x:v>
      </x:c>
      <x:c r="D112" s="92" t="n">
        <x:v>306</x:v>
      </x:c>
      <x:c r="E112" s="92" t="n">
        <x:v>7</x:v>
      </x:c>
      <x:c r="F112" s="48" t="n">
        <x:v>0.9771241830065359</x:v>
      </x:c>
      <x:c r="G112" s="48" t="n">
        <x:v>0.02287581699346405</x:v>
      </x:c>
      <x:c r="H112" s="92" t="n">
        <x:v>0</x:v>
      </x:c>
      <x:c r="I112" s="48" t="n">
        <x:v>0.09803921568627451</x:v>
      </x:c>
      <x:c r="J112" s="130" t="n">
        <x:v>7.807657460360687</x:v>
      </x:c>
      <x:c r="K112" s="1"/>
    </x:row>
    <x:row r="113">
      <x:c r="A113" s="47" t="str">
        <x:v>RS → DF</x:v>
      </x:c>
      <x:c r="B113" s="89" t="str">
        <x:v>RS</x:v>
      </x:c>
      <x:c r="C113" s="89" t="str">
        <x:v>DF</x:v>
      </x:c>
      <x:c r="D113" s="92" t="n">
        <x:v>47</x:v>
      </x:c>
      <x:c r="E113" s="92" t="n">
        <x:v>1</x:v>
      </x:c>
      <x:c r="F113" s="48" t="n">
        <x:v>0.9787234042553191</x:v>
      </x:c>
      <x:c r="G113" s="48" t="n">
        <x:v>0.02127659574468085</x:v>
      </x:c>
      <x:c r="H113" s="92" t="n">
        <x:v>0</x:v>
      </x:c>
      <x:c r="I113" s="48" t="n">
        <x:v>0.06382978723404255</x:v>
      </x:c>
      <x:c r="J113" s="130" t="n">
        <x:v>9.390602098108747</x:v>
      </x:c>
      <x:c r="K113" s="1"/>
    </x:row>
    <x:row r="114">
      <x:c r="A114" s="47" t="str">
        <x:v>RJ → ES</x:v>
      </x:c>
      <x:c r="B114" s="89" t="str">
        <x:v>RJ</x:v>
      </x:c>
      <x:c r="C114" s="89" t="str">
        <x:v>ES</x:v>
      </x:c>
      <x:c r="D114" s="92" t="n">
        <x:v>97</x:v>
      </x:c>
      <x:c r="E114" s="92" t="n">
        <x:v>2</x:v>
      </x:c>
      <x:c r="F114" s="48" t="n">
        <x:v>0.979381443298969</x:v>
      </x:c>
      <x:c r="G114" s="48" t="n">
        <x:v>0.020618556701030927</x:v>
      </x:c>
      <x:c r="H114" s="92" t="n">
        <x:v>0</x:v>
      </x:c>
      <x:c r="I114" s="48" t="n">
        <x:v>0.08247422680412371</x:v>
      </x:c>
      <x:c r="J114" s="130" t="n">
        <x:v>9.50705708285605</x:v>
      </x:c>
      <x:c r="K114" s="1"/>
    </x:row>
    <x:row r="115">
      <x:c r="A115" s="47" t="str">
        <x:v>PE → SP</x:v>
      </x:c>
      <x:c r="B115" s="89" t="str">
        <x:v>PE</x:v>
      </x:c>
      <x:c r="C115" s="89" t="str">
        <x:v>SP</x:v>
      </x:c>
      <x:c r="D115" s="92" t="n">
        <x:v>104</x:v>
      </x:c>
      <x:c r="E115" s="92" t="n">
        <x:v>2</x:v>
      </x:c>
      <x:c r="F115" s="48" t="n">
        <x:v>0.9807692307692307</x:v>
      </x:c>
      <x:c r="G115" s="48" t="n">
        <x:v>0.019230769230769232</x:v>
      </x:c>
      <x:c r="H115" s="92" t="n">
        <x:v>0</x:v>
      </x:c>
      <x:c r="I115" s="48" t="n">
        <x:v>0.038461538461538464</x:v>
      </x:c>
      <x:c r="J115" s="130" t="n">
        <x:v>9.640389400819087</x:v>
      </x:c>
      <x:c r="K115" s="1"/>
    </x:row>
    <x:row r="116">
      <x:c r="A116" s="47" t="str">
        <x:v>RS → MG</x:v>
      </x:c>
      <x:c r="B116" s="89" t="str">
        <x:v>RS</x:v>
      </x:c>
      <x:c r="C116" s="89" t="str">
        <x:v>MG</x:v>
      </x:c>
      <x:c r="D116" s="92" t="n">
        <x:v>185</x:v>
      </x:c>
      <x:c r="E116" s="92" t="n">
        <x:v>3</x:v>
      </x:c>
      <x:c r="F116" s="48" t="n">
        <x:v>0.9837837837837837</x:v>
      </x:c>
      <x:c r="G116" s="48" t="n">
        <x:v>0.016216216216216217</x:v>
      </x:c>
      <x:c r="H116" s="92" t="n">
        <x:v>0</x:v>
      </x:c>
      <x:c r="I116" s="48" t="n">
        <x:v>0.07567567567567568</x:v>
      </x:c>
      <x:c r="J116" s="130" t="n">
        <x:v>8.600927615115115</x:v>
      </x:c>
      <x:c r="K116" s="1"/>
    </x:row>
    <x:row r="117">
      <x:c r="A117" s="47" t="str">
        <x:v>GO → SP</x:v>
      </x:c>
      <x:c r="B117" s="89" t="str">
        <x:v>GO</x:v>
      </x:c>
      <x:c r="C117" s="89" t="str">
        <x:v>SP</x:v>
      </x:c>
      <x:c r="D117" s="92" t="n">
        <x:v>125</x:v>
      </x:c>
      <x:c r="E117" s="92" t="n">
        <x:v>2</x:v>
      </x:c>
      <x:c r="F117" s="48" t="n">
        <x:v>0.984</x:v>
      </x:c>
      <x:c r="G117" s="48" t="n">
        <x:v>0.016</x:v>
      </x:c>
      <x:c r="H117" s="92" t="n">
        <x:v>0</x:v>
      </x:c>
      <x:c r="I117" s="48" t="n">
        <x:v>0.064</x:v>
      </x:c>
      <x:c r="J117" s="130" t="n">
        <x:v>8.304068703703704</x:v>
      </x:c>
      <x:c r="K117" s="1"/>
    </x:row>
    <x:row r="118">
      <x:c r="A118" s="47" t="str">
        <x:v>RS → SP</x:v>
      </x:c>
      <x:c r="B118" s="89" t="str">
        <x:v>RS</x:v>
      </x:c>
      <x:c r="C118" s="89" t="str">
        <x:v>SP</x:v>
      </x:c>
      <x:c r="D118" s="92" t="n">
        <x:v>658</x:v>
      </x:c>
      <x:c r="E118" s="92" t="n">
        <x:v>8</x:v>
      </x:c>
      <x:c r="F118" s="48" t="n">
        <x:v>0.9878419452887538</x:v>
      </x:c>
      <x:c r="G118" s="48" t="n">
        <x:v>0.0121580547112462</x:v>
      </x:c>
      <x:c r="H118" s="92" t="n">
        <x:v>0</x:v>
      </x:c>
      <x:c r="I118" s="48" t="n">
        <x:v>0.07598784194528875</x:v>
      </x:c>
      <x:c r="J118" s="130" t="n">
        <x:v>6.9332416905887655</x:v>
      </x:c>
      <x:c r="K118" s="1"/>
    </x:row>
    <x:row r="119">
      <x:c r="A119" s="47" t="str">
        <x:v>MG → PR</x:v>
      </x:c>
      <x:c r="B119" s="89" t="str">
        <x:v>MG</x:v>
      </x:c>
      <x:c r="C119" s="89" t="str">
        <x:v>PR</x:v>
      </x:c>
      <x:c r="D119" s="92" t="n">
        <x:v>362</x:v>
      </x:c>
      <x:c r="E119" s="92" t="n">
        <x:v>4</x:v>
      </x:c>
      <x:c r="F119" s="48" t="n">
        <x:v>0.988950276243094</x:v>
      </x:c>
      <x:c r="G119" s="48" t="n">
        <x:v>0.011049723756906077</x:v>
      </x:c>
      <x:c r="H119" s="92" t="n">
        <x:v>0</x:v>
      </x:c>
      <x:c r="I119" s="48" t="n">
        <x:v>0.06077348066298342</x:v>
      </x:c>
      <x:c r="J119" s="130" t="n">
        <x:v>9.642400501330059</x:v>
      </x:c>
      <x:c r="K119" s="1"/>
    </x:row>
    <x:row r="120">
      <x:c r="A120" s="47" t="str">
        <x:v>DF → MG</x:v>
      </x:c>
      <x:c r="B120" s="89" t="str">
        <x:v>DF</x:v>
      </x:c>
      <x:c r="C120" s="89" t="str">
        <x:v>MG</x:v>
      </x:c>
      <x:c r="D120" s="92" t="n">
        <x:v>102</x:v>
      </x:c>
      <x:c r="E120" s="92" t="n">
        <x:v>1</x:v>
      </x:c>
      <x:c r="F120" s="48" t="n">
        <x:v>0.9901960784313726</x:v>
      </x:c>
      <x:c r="G120" s="48" t="n">
        <x:v>0.00980392156862745</x:v>
      </x:c>
      <x:c r="H120" s="92" t="n">
        <x:v>0</x:v>
      </x:c>
      <x:c r="I120" s="48" t="n">
        <x:v>0.058823529411764705</x:v>
      </x:c>
      <x:c r="J120" s="130" t="n">
        <x:v>6.896048474945534</x:v>
      </x:c>
      <x:c r="K120" s="1"/>
    </x:row>
    <x:row r="121">
      <x:c r="A121" s="47" t="str">
        <x:v>RS → SC</x:v>
      </x:c>
      <x:c r="B121" s="89" t="str">
        <x:v>RS</x:v>
      </x:c>
      <x:c r="C121" s="89" t="str">
        <x:v>SC</x:v>
      </x:c>
      <x:c r="D121" s="92" t="n">
        <x:v>114</x:v>
      </x:c>
      <x:c r="E121" s="92" t="n">
        <x:v>0</x:v>
      </x:c>
      <x:c r="F121" s="48" t="n">
        <x:v>1</x:v>
      </x:c>
      <x:c r="G121" s="48" t="n">
        <x:v>0</x:v>
      </x:c>
      <x:c r="H121" s="92" t="n">
        <x:v>0</x:v>
      </x:c>
      <x:c r="I121" s="48" t="n">
        <x:v>0.07017543859649122</x:v>
      </x:c>
      <x:c r="J121" s="130" t="n">
        <x:v>6.303552733105913</x:v>
      </x:c>
      <x:c r="K121" s="1"/>
    </x:row>
    <x:row r="122">
      <x:c r="A122" s="47" t="str">
        <x:v>GO → MG</x:v>
      </x:c>
      <x:c r="B122" s="89" t="str">
        <x:v>GO</x:v>
      </x:c>
      <x:c r="C122" s="89" t="str">
        <x:v>MG</x:v>
      </x:c>
      <x:c r="D122" s="92" t="n">
        <x:v>83</x:v>
      </x:c>
      <x:c r="E122" s="92" t="n">
        <x:v>0</x:v>
      </x:c>
      <x:c r="F122" s="48" t="n">
        <x:v>1</x:v>
      </x:c>
      <x:c r="G122" s="48" t="n">
        <x:v>0</x:v>
      </x:c>
      <x:c r="H122" s="92" t="n">
        <x:v>0</x:v>
      </x:c>
      <x:c r="I122" s="48" t="n">
        <x:v>0.07228915662650602</x:v>
      </x:c>
      <x:c r="J122" s="130" t="n">
        <x:v>7.963238509593932</x:v>
      </x:c>
      <x:c r="K122" s="1"/>
    </x:row>
    <x:row r="123">
      <x:c r="A123" s="47" t="str">
        <x:v>SC → DF</x:v>
      </x:c>
      <x:c r="B123" s="89" t="str">
        <x:v>SC</x:v>
      </x:c>
      <x:c r="C123" s="89" t="str">
        <x:v>DF</x:v>
      </x:c>
      <x:c r="D123" s="92" t="n">
        <x:v>69</x:v>
      </x:c>
      <x:c r="E123" s="92" t="n">
        <x:v>0</x:v>
      </x:c>
      <x:c r="F123" s="48" t="n">
        <x:v>1</x:v>
      </x:c>
      <x:c r="G123" s="48" t="n">
        <x:v>0</x:v>
      </x:c>
      <x:c r="H123" s="92" t="n">
        <x:v>0</x:v>
      </x:c>
      <x:c r="I123" s="48" t="n">
        <x:v>0.028985507246376812</x:v>
      </x:c>
      <x:c r="J123" s="130" t="n">
        <x:v>10.506378488996244</x:v>
      </x:c>
      <x:c r="K123" s="1"/>
    </x:row>
    <x:row r="124">
      <x:c r="A124" s="47" t="str">
        <x:v>PE → MG</x:v>
      </x:c>
      <x:c r="B124" s="89" t="str">
        <x:v>PE</x:v>
      </x:c>
      <x:c r="C124" s="89" t="str">
        <x:v>MG</x:v>
      </x:c>
      <x:c r="D124" s="92" t="n">
        <x:v>60</x:v>
      </x:c>
      <x:c r="E124" s="92" t="n">
        <x:v>0</x:v>
      </x:c>
      <x:c r="F124" s="48" t="n">
        <x:v>1</x:v>
      </x:c>
      <x:c r="G124" s="48" t="n">
        <x:v>0</x:v>
      </x:c>
      <x:c r="H124" s="92" t="n">
        <x:v>0</x:v>
      </x:c>
      <x:c r="I124" s="48" t="n">
        <x:v>0.03333333333333333</x:v>
      </x:c>
      <x:c r="J124" s="130" t="n">
        <x:v>9.501010416666666</x:v>
      </x:c>
      <x:c r="K124" s="1"/>
    </x:row>
    <x:row r="125">
      <x:c r="A125" s="47" t="str">
        <x:v>BA → MG</x:v>
      </x:c>
      <x:c r="B125" s="89" t="str">
        <x:v>BA</x:v>
      </x:c>
      <x:c r="C125" s="89" t="str">
        <x:v>MG</x:v>
      </x:c>
      <x:c r="D125" s="92" t="n">
        <x:v>51</x:v>
      </x:c>
      <x:c r="E125" s="92" t="n">
        <x:v>0</x:v>
      </x:c>
      <x:c r="F125" s="48" t="n">
        <x:v>1</x:v>
      </x:c>
      <x:c r="G125" s="48" t="n">
        <x:v>0</x:v>
      </x:c>
      <x:c r="H125" s="92" t="n">
        <x:v>0</x:v>
      </x:c>
      <x:c r="I125" s="48" t="n">
        <x:v>0.09803921568627451</x:v>
      </x:c>
      <x:c r="J125" s="130" t="n">
        <x:v>7.404768518518518</x:v>
      </x:c>
      <x:c r="K125" s="1"/>
    </x:row>
    <x:row r="126">
      <x:c r="A126" s="47" t="str">
        <x:v>ES → MG</x:v>
      </x:c>
      <x:c r="B126" s="89" t="str">
        <x:v>ES</x:v>
      </x:c>
      <x:c r="C126" s="89" t="str">
        <x:v>MG</x:v>
      </x:c>
      <x:c r="D126" s="92" t="n">
        <x:v>42</x:v>
      </x:c>
      <x:c r="E126" s="92" t="n">
        <x:v>0</x:v>
      </x:c>
      <x:c r="F126" s="48" t="n">
        <x:v>1</x:v>
      </x:c>
      <x:c r="G126" s="48" t="n">
        <x:v>0</x:v>
      </x:c>
      <x:c r="H126" s="92" t="n">
        <x:v>0</x:v>
      </x:c>
      <x:c r="I126" s="48" t="n">
        <x:v>0</x:v>
      </x:c>
      <x:c r="J126" s="130" t="n">
        <x:v>8.415805224867725</x:v>
      </x:c>
      <x:c r="K126" s="1"/>
    </x:row>
    <x:row r="127">
      <x:c r="A127" s="47" t="str">
        <x:v>GO → GO</x:v>
      </x:c>
      <x:c r="B127" s="89" t="str">
        <x:v>GO</x:v>
      </x:c>
      <x:c r="C127" s="89" t="str">
        <x:v>GO</x:v>
      </x:c>
      <x:c r="D127" s="92" t="n">
        <x:v>31</x:v>
      </x:c>
      <x:c r="E127" s="92" t="n">
        <x:v>0</x:v>
      </x:c>
      <x:c r="F127" s="48" t="n">
        <x:v>1</x:v>
      </x:c>
      <x:c r="G127" s="48" t="n">
        <x:v>0</x:v>
      </x:c>
      <x:c r="H127" s="92" t="n">
        <x:v>0</x:v>
      </x:c>
      <x:c r="I127" s="48" t="n">
        <x:v>0</x:v>
      </x:c>
      <x:c r="J127" s="130" t="n">
        <x:v>3.3418152628434883</x:v>
      </x:c>
      <x:c r="K127" s="1"/>
    </x:row>
    <x:row r="128">
      <x:c r="A128" s="53" t="str">
        <x:v>DF → GO</x:v>
      </x:c>
      <x:c r="B128" s="90" t="str">
        <x:v>DF</x:v>
      </x:c>
      <x:c r="C128" s="90" t="str">
        <x:v>GO</x:v>
      </x:c>
      <x:c r="D128" s="54" t="n">
        <x:v>30</x:v>
      </x:c>
      <x:c r="E128" s="54" t="n">
        <x:v>0</x:v>
      </x:c>
      <x:c r="F128" s="93" t="n">
        <x:v>1</x:v>
      </x:c>
      <x:c r="G128" s="93" t="n">
        <x:v>0</x:v>
      </x:c>
      <x:c r="H128" s="54" t="n">
        <x:v>0</x:v>
      </x:c>
      <x:c r="I128" s="93" t="n">
        <x:v>0.03333333333333333</x:v>
      </x:c>
      <x:c r="J128" s="131" t="n">
        <x:v>6.540494984567901</x:v>
      </x:c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conditionalFormatting sqref="H5:H128">
    <x:cfRule type="colorScale" priority="1">
      <x:colorScale>
        <x:cfvo type="min"/>
        <x:cfvo type="percentile" val="50"/>
        <x:cfvo type="max"/>
        <x:color rgb="FFFFF2CC"/>
        <x:color rgb="FFF4A582"/>
        <x:color rgb="FFB2182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63A5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68" hidden="0" customWidth="1"/>
    <x:col min="3" max="3" width="36" hidden="0" customWidth="1"/>
  </x:cols>
  <x:sheetData>
    <x:row r="1" ht="27" customHeight="1">
      <x:c r="A1" s="2" t="str">
        <x:v>Definitions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9" customHeight="1">
      <x:c r="A2" s="3" t="str">
        <x:v>Metric rules, limitations and source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21" t="str">
        <x:v>Metric / rule</x:v>
      </x:c>
      <x:c r="B4" s="23" t="str">
        <x:v>Plain meaning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43" t="str">
        <x:v>Analytical grain</x:v>
      </x:c>
      <x:c r="B5" s="60" t="str">
        <x:v>One row per order ID and seller ID; this is not a physical parcel.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47" t="str">
        <x:v>On-time delivery</x:v>
      </x:c>
      <x:c r="B6" s="61" t="str">
        <x:v>Actual delivery calendar date is on or before the customer-promised date.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34" customHeight="1">
      <x:c r="A7" s="47" t="str">
        <x:v>Late dispatch</x:v>
      </x:c>
      <x:c r="B7" s="61" t="str">
        <x:v>Carrier handover is after the earliest item shipping-limit timestamp.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34" customHeight="1">
      <x:c r="A8" s="47" t="str">
        <x:v>Approval to carrier</x:v>
      </x:c>
      <x:c r="B8" s="61" t="str">
        <x:v>Elapsed time from marketplace/payment approval to recorded carrier handover. It is a fulfilment-stage proxy, not pure seller processing time.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34" customHeight="1">
      <x:c r="A9" s="47" t="str">
        <x:v>Carrier to delivery</x:v>
      </x:c>
      <x:c r="B9" s="61" t="str">
        <x:v>Elapsed time between carrier handover and customer delivery.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34" customHeight="1">
      <x:c r="A10" s="47" t="str">
        <x:v>Review score</x:v>
      </x:c>
      <x:c r="B10" s="61" t="str">
        <x:v>Average review per order, then average across reviewed eligible orders.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34" customHeight="1">
      <x:c r="A11" s="47" t="str">
        <x:v>Between-state share</x:v>
      </x:c>
      <x:c r="B11" s="61" t="str">
        <x:v>Share where seller state differs from customer state; not a distance measure.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34" customHeight="1">
      <x:c r="A12" s="47" t="str">
        <x:v>Merchant flag</x:v>
      </x:c>
      <x:c r="B12" s="61" t="str">
        <x:v>At least 30 eligible deliveries and a 95% Wilson lower bound above the overall late rate.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34" customHeight="1">
      <x:c r="A13" s="47" t="str">
        <x:v>Lane priority</x:v>
      </x:c>
      <x:c r="B13" s="61" t="str">
        <x:v>Excess late orders compare observed late orders with the number expected if the lane performed at the overall late rate.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34" customHeight="1">
      <x:c r="A14" s="47" t="str">
        <x:v>Small-lane caution</x:v>
      </x:c>
      <x:c r="B14" s="61" t="str">
        <x:v>A percentage based on fewer orders is less stable; rate, count and confidence should be read together.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34" customHeight="1">
      <x:c r="A15" s="47" t="str">
        <x:v>Different deadlines</x:v>
      </x:c>
      <x:c r="B15" s="61" t="str">
        <x:v>Late dispatch and on-time delivery use different deadlines, so one can fail while the other passes.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34" customHeight="1">
      <x:c r="A16" s="53" t="str">
        <x:v>Main limitation</x:v>
      </x:c>
      <x:c r="B16" s="62" t="str">
        <x:v>No parcel ID, carrier, hub scan, attempt count or exception reason is available.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21" t="str">
        <x:v>Overall benchmark</x:v>
      </x:c>
      <x:c r="B19" s="22" t="str">
        <x:v>Value</x:v>
      </x:c>
      <x:c r="C19" s="23" t="str">
        <x:v>Direction</x:v>
      </x:c>
      <x:c r="D19" s="1"/>
      <x:c r="E19" s="1"/>
      <x:c r="F19" s="1"/>
      <x:c r="G19" s="1"/>
      <x:c r="H19" s="1"/>
      <x:c r="I19" s="1"/>
      <x:c r="J19" s="1"/>
      <x:c r="K19" s="1"/>
    </x:row>
    <x:row r="20">
      <x:c r="A20" s="43" t="str">
        <x:v>Delivered orders</x:v>
      </x:c>
      <x:c r="B20" s="91" t="n">
        <x:v>4533</x:v>
      </x:c>
      <x:c r="C20" s="46" t="str">
        <x:v>Context</x:v>
      </x:c>
      <x:c r="D20" s="1"/>
      <x:c r="E20" s="1"/>
      <x:c r="F20" s="1"/>
      <x:c r="G20" s="1"/>
      <x:c r="H20" s="1"/>
      <x:c r="I20" s="1"/>
      <x:c r="J20" s="1"/>
      <x:c r="K20" s="1"/>
    </x:row>
    <x:row r="21">
      <x:c r="A21" s="47" t="str">
        <x:v>On-time delivery rate</x:v>
      </x:c>
      <x:c r="B21" s="48" t="n">
        <x:v>0.9314985030726404</x:v>
      </x:c>
      <x:c r="C21" s="50" t="str">
        <x:v>Higher</x:v>
      </x:c>
      <x:c r="D21" s="1"/>
      <x:c r="E21" s="1"/>
      <x:c r="F21" s="1"/>
      <x:c r="G21" s="1"/>
      <x:c r="H21" s="1"/>
      <x:c r="I21" s="1"/>
      <x:c r="J21" s="1"/>
      <x:c r="K21" s="1"/>
    </x:row>
    <x:row r="22">
      <x:c r="A22" s="47" t="str">
        <x:v>Late dispatch rate</x:v>
      </x:c>
      <x:c r="B22" s="48" t="n">
        <x:v>0.0909616152278505</x:v>
      </x:c>
      <x:c r="C22" s="50" t="str">
        <x:v>Lower</x:v>
      </x:c>
      <x:c r="D22" s="1"/>
      <x:c r="E22" s="1"/>
      <x:c r="F22" s="1"/>
      <x:c r="G22" s="1"/>
      <x:c r="H22" s="1"/>
      <x:c r="I22" s="1"/>
      <x:c r="J22" s="1"/>
      <x:c r="K22" s="1"/>
    </x:row>
    <x:row r="23">
      <x:c r="A23" s="47" t="str">
        <x:v>Approval to carrier days</x:v>
      </x:c>
      <x:c r="B23" s="52" t="n">
        <x:v>2.8651064393594132</x:v>
      </x:c>
      <x:c r="C23" s="50" t="str">
        <x:v>Lower</x:v>
      </x:c>
      <x:c r="D23" s="1"/>
      <x:c r="E23" s="1"/>
      <x:c r="F23" s="1"/>
      <x:c r="G23" s="1"/>
      <x:c r="H23" s="1"/>
      <x:c r="I23" s="1"/>
      <x:c r="J23" s="1"/>
      <x:c r="K23" s="1"/>
    </x:row>
    <x:row r="24">
      <x:c r="A24" s="47" t="str">
        <x:v>Carrier to delivery days</x:v>
      </x:c>
      <x:c r="B24" s="52" t="n">
        <x:v>9.364980320426397</x:v>
      </x:c>
      <x:c r="C24" s="50" t="str">
        <x:v>Lower</x:v>
      </x:c>
      <x:c r="D24" s="1"/>
      <x:c r="E24" s="1"/>
      <x:c r="F24" s="1"/>
      <x:c r="G24" s="1"/>
      <x:c r="H24" s="1"/>
      <x:c r="I24" s="1"/>
      <x:c r="J24" s="1"/>
      <x:c r="K24" s="1"/>
    </x:row>
    <x:row r="25">
      <x:c r="A25" s="47" t="str">
        <x:v>Purchase to delivery days</x:v>
      </x:c>
      <x:c r="B25" s="52" t="n">
        <x:v>12.604035144965598</x:v>
      </x:c>
      <x:c r="C25" s="50" t="str">
        <x:v>Lower</x:v>
      </x:c>
      <x:c r="D25" s="1"/>
      <x:c r="E25" s="1"/>
      <x:c r="F25" s="1"/>
      <x:c r="G25" s="1"/>
      <x:c r="H25" s="1"/>
      <x:c r="I25" s="1"/>
      <x:c r="J25" s="1"/>
      <x:c r="K25" s="1"/>
    </x:row>
    <x:row r="26">
      <x:c r="A26" s="47" t="str">
        <x:v>Average review score</x:v>
      </x:c>
      <x:c r="B26" s="52" t="n">
        <x:v>4.173521003634261</x:v>
      </x:c>
      <x:c r="C26" s="50" t="str">
        <x:v>Higher</x:v>
      </x:c>
      <x:c r="D26" s="1"/>
      <x:c r="E26" s="1"/>
      <x:c r="F26" s="1"/>
      <x:c r="G26" s="1"/>
      <x:c r="H26" s="1"/>
      <x:c r="I26" s="1"/>
      <x:c r="J26" s="1"/>
      <x:c r="K26" s="1"/>
    </x:row>
    <x:row r="27">
      <x:c r="A27" s="53" t="str">
        <x:v>Between-state share</x:v>
      </x:c>
      <x:c r="B27" s="93" t="n">
        <x:v>0.6403802720731131</x:v>
      </x:c>
      <x:c r="C27" s="56" t="str">
        <x:v>Context</x:v>
      </x:c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21" t="str">
        <x:v>Data-quality check</x:v>
      </x:c>
      <x:c r="B30" s="22" t="str">
        <x:v>Value</x:v>
      </x:c>
      <x:c r="C30" s="23" t="str">
        <x:v>Definition</x:v>
      </x:c>
      <x:c r="D30" s="1"/>
      <x:c r="E30" s="1"/>
      <x:c r="F30" s="1"/>
      <x:c r="G30" s="1"/>
      <x:c r="H30" s="1"/>
      <x:c r="I30" s="1"/>
      <x:c r="J30" s="1"/>
      <x:c r="K30" s="1"/>
    </x:row>
    <x:row r="31">
      <x:c r="A31" s="43" t="str">
        <x:v>raw_orders</x:v>
      </x:c>
      <x:c r="B31" s="91" t="n">
        <x:v>99441</x:v>
      </x:c>
      <x:c r="C31" s="60" t="str">
        <x:v>Source order rows</x:v>
      </x:c>
      <x:c r="D31" s="1"/>
      <x:c r="E31" s="1"/>
      <x:c r="F31" s="1"/>
      <x:c r="G31" s="1"/>
      <x:c r="H31" s="1"/>
      <x:c r="I31" s="1"/>
      <x:c r="J31" s="1"/>
      <x:c r="K31" s="1"/>
    </x:row>
    <x:row r="32">
      <x:c r="A32" s="47" t="str">
        <x:v>seller_order_rows</x:v>
      </x:c>
      <x:c r="B32" s="92" t="n">
        <x:v>100010</x:v>
      </x:c>
      <x:c r="C32" s="61" t="str">
        <x:v>Analytical seller-order fulfilment rows</x:v>
      </x:c>
      <x:c r="D32" s="1"/>
      <x:c r="E32" s="1"/>
      <x:c r="F32" s="1"/>
      <x:c r="G32" s="1"/>
      <x:c r="H32" s="1"/>
      <x:c r="I32" s="1"/>
      <x:c r="J32" s="1"/>
      <x:c r="K32" s="1"/>
    </x:row>
    <x:row r="33">
      <x:c r="A33" s="47" t="str">
        <x:v>orders_without_items</x:v>
      </x:c>
      <x:c r="B33" s="92" t="n">
        <x:v>775</x:v>
      </x:c>
      <x:c r="C33" s="61" t="str">
        <x:v>Orders not represented in item data</x:v>
      </x:c>
      <x:c r="D33" s="1"/>
      <x:c r="E33" s="1"/>
      <x:c r="F33" s="1"/>
      <x:c r="G33" s="1"/>
      <x:c r="H33" s="1"/>
      <x:c r="I33" s="1"/>
      <x:c r="J33" s="1"/>
      <x:c r="K33" s="1"/>
    </x:row>
    <x:row r="34">
      <x:c r="A34" s="47" t="str">
        <x:v>multi_seller_orders</x:v>
      </x:c>
      <x:c r="B34" s="92" t="n">
        <x:v>1278</x:v>
      </x:c>
      <x:c r="C34" s="61" t="str">
        <x:v>Attribution-ambiguous orders</x:v>
      </x:c>
      <x:c r="D34" s="1"/>
      <x:c r="E34" s="1"/>
      <x:c r="F34" s="1"/>
      <x:c r="G34" s="1"/>
      <x:c r="H34" s="1"/>
      <x:c r="I34" s="1"/>
      <x:c r="J34" s="1"/>
      <x:c r="K34" s="1"/>
    </x:row>
    <x:row r="35">
      <x:c r="A35" s="47" t="str">
        <x:v>missing_carrier_timestamp</x:v>
      </x:c>
      <x:c r="B35" s="92" t="n">
        <x:v>1783</x:v>
      </x:c>
      <x:c r="C35" s="61" t="str">
        <x:v>All order statuses</x:v>
      </x:c>
      <x:c r="D35" s="1"/>
      <x:c r="E35" s="1"/>
      <x:c r="F35" s="1"/>
      <x:c r="G35" s="1"/>
      <x:c r="H35" s="1"/>
      <x:c r="I35" s="1"/>
      <x:c r="J35" s="1"/>
      <x:c r="K35" s="1"/>
    </x:row>
    <x:row r="36">
      <x:c r="A36" s="47" t="str">
        <x:v>missing_delivery_timestamp</x:v>
      </x:c>
      <x:c r="B36" s="92" t="n">
        <x:v>2965</x:v>
      </x:c>
      <x:c r="C36" s="61" t="str">
        <x:v>All order statuses</x:v>
      </x:c>
      <x:c r="D36" s="1"/>
      <x:c r="E36" s="1"/>
      <x:c r="F36" s="1"/>
      <x:c r="G36" s="1"/>
      <x:c r="H36" s="1"/>
      <x:c r="I36" s="1"/>
      <x:c r="J36" s="1"/>
      <x:c r="K36" s="1"/>
    </x:row>
    <x:row r="37">
      <x:c r="A37" s="47" t="str">
        <x:v>invalid_approval_sequence_rows</x:v>
      </x:c>
      <x:c r="B37" s="92" t="n">
        <x:v>0</x:v>
      </x:c>
      <x:c r="C37" s="61" t="str">
        <x:v>Seller-order rows</x:v>
      </x:c>
      <x:c r="D37" s="1"/>
      <x:c r="E37" s="1"/>
      <x:c r="F37" s="1"/>
      <x:c r="G37" s="1"/>
      <x:c r="H37" s="1"/>
      <x:c r="I37" s="1"/>
      <x:c r="J37" s="1"/>
      <x:c r="K37" s="1"/>
    </x:row>
    <x:row r="38">
      <x:c r="A38" s="47" t="str">
        <x:v>invalid_carrier_sequence_rows</x:v>
      </x:c>
      <x:c r="B38" s="92" t="n">
        <x:v>1398</x:v>
      </x:c>
      <x:c r="C38" s="61" t="str">
        <x:v>Seller-order rows</x:v>
      </x:c>
      <x:c r="D38" s="1"/>
      <x:c r="E38" s="1"/>
      <x:c r="F38" s="1"/>
      <x:c r="G38" s="1"/>
      <x:c r="H38" s="1"/>
      <x:c r="I38" s="1"/>
      <x:c r="J38" s="1"/>
      <x:c r="K38" s="1"/>
    </x:row>
    <x:row r="39">
      <x:c r="A39" s="53" t="str">
        <x:v>invalid_delivery_sequence_rows</x:v>
      </x:c>
      <x:c r="B39" s="54" t="n">
        <x:v>42</x:v>
      </x:c>
      <x:c r="C39" s="62" t="str">
        <x:v>Seller-order rows</x:v>
      </x:c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5" t="str">
        <x:v>Source</x:v>
      </x:c>
      <x:c r="B42" s="1" t="str">
        <x:v>https://www.kaggle.com/olistbr/brazilian-ecommerce/home</x:v>
      </x:c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5" t="str">
        <x:v>Licence</x:v>
      </x:c>
      <x:c r="B43" s="1" t="str">
        <x:v>CC BY-NC-SA 4.0</x:v>
      </x:c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</x:worksheet>
</file>